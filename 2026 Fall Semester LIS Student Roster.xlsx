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eautiful\Desktop\College Counselling App\Cialfo\"/>
    </mc:Choice>
  </mc:AlternateContent>
  <xr:revisionPtr revIDLastSave="0" documentId="13_ncr:1_{0B5D2345-9406-4B34-BE35-E523EE4B9E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ternatio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4" i="1" l="1"/>
  <c r="B126" i="1"/>
  <c r="B108" i="1"/>
  <c r="B93" i="1"/>
  <c r="B79" i="1"/>
  <c r="B65" i="1"/>
  <c r="B54" i="1"/>
  <c r="B45" i="1"/>
  <c r="B34" i="1"/>
  <c r="B23" i="1"/>
  <c r="B14" i="1"/>
  <c r="B6" i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15" authorId="0" shapeId="0" xr:uid="{00000000-0006-0000-0000-000003000000}">
      <text>
        <r>
          <rPr>
            <sz val="10"/>
            <color rgb="FF000000"/>
            <rFont val="Calibri"/>
            <scheme val="minor"/>
          </rPr>
          <t>모든 문자 아빠에게도 보내주세요</t>
        </r>
      </text>
    </comment>
    <comment ref="D77" authorId="0" shapeId="0" xr:uid="{00000000-0006-0000-0000-00000B000000}">
      <text>
        <r>
          <rPr>
            <sz val="10"/>
            <color rgb="FF000000"/>
            <rFont val="Calibri"/>
            <scheme val="minor"/>
          </rPr>
          <t>뇌전증, HLH:치료종결후 추적관찰중이며, 날계란 알레르기 있음</t>
        </r>
      </text>
    </comment>
    <comment ref="Q95" authorId="0" shapeId="0" xr:uid="{00000000-0006-0000-0000-00000A000000}">
      <text>
        <r>
          <rPr>
            <sz val="10"/>
            <color rgb="FF000000"/>
            <rFont val="Calibri"/>
            <scheme val="minor"/>
          </rPr>
          <t>이모님 : 010-9445-8870</t>
        </r>
      </text>
    </comment>
    <comment ref="D133" authorId="0" shapeId="0" xr:uid="{00000000-0006-0000-0000-000001000000}">
      <text>
        <r>
          <rPr>
            <sz val="10"/>
            <color rgb="FF000000"/>
            <rFont val="Calibri"/>
            <scheme val="minor"/>
          </rPr>
          <t>아버님 별세하셨습니다.</t>
        </r>
      </text>
    </comment>
    <comment ref="M133" authorId="0" shapeId="0" xr:uid="{00000000-0006-0000-0000-000007000000}">
      <text>
        <r>
          <rPr>
            <sz val="10"/>
            <color rgb="FF000000"/>
            <rFont val="Calibri"/>
            <scheme val="minor"/>
          </rPr>
          <t>아버님 별세하셨습니다.</t>
        </r>
      </text>
    </comment>
  </commentList>
</comments>
</file>

<file path=xl/sharedStrings.xml><?xml version="1.0" encoding="utf-8"?>
<sst xmlns="http://schemas.openxmlformats.org/spreadsheetml/2006/main" count="2310" uniqueCount="1737">
  <si>
    <t>: Last update</t>
  </si>
  <si>
    <t>2026 Fall Semester Student Roster</t>
  </si>
  <si>
    <t>Name (이름)</t>
  </si>
  <si>
    <t>English Name</t>
  </si>
  <si>
    <t>Student ID</t>
  </si>
  <si>
    <t>Grade</t>
  </si>
  <si>
    <t>Address</t>
  </si>
  <si>
    <t>Gender</t>
  </si>
  <si>
    <t>Date of Birth</t>
  </si>
  <si>
    <t>Father</t>
  </si>
  <si>
    <t> </t>
  </si>
  <si>
    <t>Mother</t>
  </si>
  <si>
    <t>Cell Phone #</t>
  </si>
  <si>
    <t>Etc.</t>
  </si>
  <si>
    <t>Homeroom
Teacher</t>
  </si>
  <si>
    <t xml:space="preserve">Name on Passport </t>
  </si>
  <si>
    <t>Zip Code</t>
  </si>
  <si>
    <t>Sally</t>
  </si>
  <si>
    <t>F</t>
  </si>
  <si>
    <t>Remark(s)</t>
  </si>
  <si>
    <t xml:space="preserve"> Email</t>
  </si>
  <si>
    <t>Student</t>
  </si>
  <si>
    <t>10384</t>
  </si>
  <si>
    <t>Admission
Date</t>
  </si>
  <si>
    <t>경기도 고양시 일산서구 킨텍스로284 문촌마을 19단지 1906동 702호</t>
  </si>
  <si>
    <t>M</t>
  </si>
  <si>
    <t>고영준</t>
  </si>
  <si>
    <t>윤채영</t>
  </si>
  <si>
    <t>dawnycy@naver.com</t>
  </si>
  <si>
    <t>010-9926-5315</t>
  </si>
  <si>
    <t>010-2578-5315</t>
  </si>
  <si>
    <t>-</t>
  </si>
  <si>
    <t>2019.08.26</t>
  </si>
  <si>
    <t>T1(0)</t>
  </si>
  <si>
    <t>10888</t>
  </si>
  <si>
    <t>2022.08.22</t>
  </si>
  <si>
    <t>Lucy</t>
  </si>
  <si>
    <t>Test date: 2023.01.16</t>
  </si>
  <si>
    <t>Anna</t>
  </si>
  <si>
    <t>10875</t>
  </si>
  <si>
    <t>Green Lim</t>
  </si>
  <si>
    <t>2020.1.28</t>
  </si>
  <si>
    <t>이지수</t>
  </si>
  <si>
    <t>JISOO LEE</t>
  </si>
  <si>
    <t>Jisoo</t>
  </si>
  <si>
    <t>10235</t>
  </si>
  <si>
    <t>2025S1389</t>
  </si>
  <si>
    <t>10416</t>
  </si>
  <si>
    <t>파주시 동패동 1781 운정신도시아이파크 129동 1403호</t>
  </si>
  <si>
    <t>2023.6.28</t>
  </si>
  <si>
    <t>2020.06.11</t>
  </si>
  <si>
    <t>이정모</t>
  </si>
  <si>
    <t>공나실</t>
  </si>
  <si>
    <t>medicherb.yuhs@gmail.com, ch20705@naver.com</t>
  </si>
  <si>
    <t>010-2029-8567</t>
  </si>
  <si>
    <t>010-9970-3374</t>
  </si>
  <si>
    <t>2025.2.3</t>
  </si>
  <si>
    <t>Test date: 2025.1.22</t>
  </si>
  <si>
    <t>10903</t>
  </si>
  <si>
    <t>Test date : 2023.06.16</t>
  </si>
  <si>
    <t>정지용</t>
  </si>
  <si>
    <t>JIYONG JEONG</t>
  </si>
  <si>
    <t>Danny</t>
  </si>
  <si>
    <t>이예준</t>
  </si>
  <si>
    <t>2025F1416</t>
  </si>
  <si>
    <t>YEJUN LEE</t>
  </si>
  <si>
    <t>10895</t>
  </si>
  <si>
    <t>Yejun</t>
  </si>
  <si>
    <t>경기도 파주시 가람로 116번길 130, 709동 201호</t>
  </si>
  <si>
    <t>2020.2.23</t>
  </si>
  <si>
    <t>정성광</t>
  </si>
  <si>
    <t>김지이</t>
  </si>
  <si>
    <t>truezone703@naver.com, kjeeyee@gmail.com</t>
  </si>
  <si>
    <t>010-6330-8301</t>
  </si>
  <si>
    <t>010-2978-2805</t>
  </si>
  <si>
    <t>2025.8.14</t>
  </si>
  <si>
    <t>Test date: 2025.8.6</t>
  </si>
  <si>
    <t>평아윤</t>
  </si>
  <si>
    <t>AHYOON PYUNG</t>
  </si>
  <si>
    <t>2025F1415</t>
  </si>
  <si>
    <t>10905</t>
  </si>
  <si>
    <t>파주시 한울로 101, 411동 403호 (동패동, 한울마을 4단지)</t>
  </si>
  <si>
    <t>2019.10.3</t>
  </si>
  <si>
    <t>평상규</t>
  </si>
  <si>
    <t>김민진</t>
  </si>
  <si>
    <t>onlyta73@naver.com</t>
  </si>
  <si>
    <t>010-9299-9319</t>
  </si>
  <si>
    <t>010-4232-7899</t>
  </si>
  <si>
    <t>2021.01.25</t>
  </si>
  <si>
    <t>이지호</t>
  </si>
  <si>
    <t>JIHO LEE</t>
  </si>
  <si>
    <t>Jiho</t>
  </si>
  <si>
    <t>2025F1414</t>
  </si>
  <si>
    <t>경기도 파주시 미래로 345 삼부르네상스 705동 504호</t>
  </si>
  <si>
    <t>2020.5.4</t>
  </si>
  <si>
    <t>이만구</t>
  </si>
  <si>
    <t>정인혜</t>
  </si>
  <si>
    <t>roadbox@naver.com, specialinhye@naver.com</t>
  </si>
  <si>
    <t>Esther</t>
  </si>
  <si>
    <t>010-9880-0960</t>
  </si>
  <si>
    <t>010-6808-2468</t>
  </si>
  <si>
    <t>Test date: 2025.8.5</t>
  </si>
  <si>
    <t>차유솜</t>
  </si>
  <si>
    <t>YUSOM CHA</t>
  </si>
  <si>
    <t>Mark</t>
  </si>
  <si>
    <t>2025F1403</t>
  </si>
  <si>
    <t>10587</t>
  </si>
  <si>
    <t>경기도 고양시 덕양구 덕수천 1로 59 삼송스타클래스 1906동 701호</t>
  </si>
  <si>
    <t>2020.1.18</t>
  </si>
  <si>
    <t>차지명</t>
  </si>
  <si>
    <t>김소운</t>
  </si>
  <si>
    <t>herse1024@hotmail.com, galong2@naver.com</t>
  </si>
  <si>
    <t>010-3005-0050</t>
  </si>
  <si>
    <t>010-3397-1412</t>
  </si>
  <si>
    <t>Test date: 2025.7.3</t>
  </si>
  <si>
    <t>이은호</t>
  </si>
  <si>
    <t>EUNHO LEE</t>
  </si>
  <si>
    <t>Eunho</t>
  </si>
  <si>
    <t>2026S1428</t>
  </si>
  <si>
    <t>10371</t>
  </si>
  <si>
    <t>경기도 고양시 일산서구 대산로 164, 문촌마을 2단지 207동 1501호</t>
  </si>
  <si>
    <t xml:space="preserve"> </t>
  </si>
  <si>
    <t>2019.11.11</t>
  </si>
  <si>
    <t>이건희</t>
  </si>
  <si>
    <t>김진희</t>
  </si>
  <si>
    <t>ekenny714@gmail.com, jh333jh@gmail.com</t>
  </si>
  <si>
    <t>010-8764-7134</t>
  </si>
  <si>
    <t>010-8958-0922</t>
  </si>
  <si>
    <t>2026.1.26</t>
  </si>
  <si>
    <t>Test date: 2025.12.17</t>
  </si>
  <si>
    <t>우주예</t>
  </si>
  <si>
    <t>JUYE WOO</t>
  </si>
  <si>
    <t>Stella</t>
  </si>
  <si>
    <t>2026F1458</t>
  </si>
  <si>
    <t>10211</t>
  </si>
  <si>
    <t>경기도 고양시 일산서구 가좌동 가좌 2로 22, 604-1201</t>
  </si>
  <si>
    <t>2020.2.4</t>
  </si>
  <si>
    <t>우재철</t>
  </si>
  <si>
    <t>박서현</t>
  </si>
  <si>
    <t>woojc76@daum.net, havana0527@daum.net</t>
  </si>
  <si>
    <t>010-2566-4945</t>
  </si>
  <si>
    <t>010-2948-0924</t>
  </si>
  <si>
    <t>2026.8.14</t>
  </si>
  <si>
    <t>Test date: 2026.06.23</t>
  </si>
  <si>
    <t>김시오</t>
  </si>
  <si>
    <t>SIO KIM</t>
  </si>
  <si>
    <t>Sio</t>
  </si>
  <si>
    <t>2026S1425</t>
  </si>
  <si>
    <t>10583</t>
  </si>
  <si>
    <t>경기도 고양시 덕양구 오부자로 99, 107동 1004호</t>
  </si>
  <si>
    <t>2020.02.21</t>
  </si>
  <si>
    <t>김현호</t>
  </si>
  <si>
    <t>임미혜</t>
  </si>
  <si>
    <t>mihye0105@hanmail.net</t>
  </si>
  <si>
    <t>010-3394-4810</t>
  </si>
  <si>
    <t>010-9041-6155</t>
  </si>
  <si>
    <t>Test date : 2025.11.10</t>
  </si>
  <si>
    <t>Eknam bajaj</t>
  </si>
  <si>
    <t>이재준</t>
  </si>
  <si>
    <t>JAEJUNE LEE</t>
  </si>
  <si>
    <t>Aiden</t>
  </si>
  <si>
    <t>2025S1379</t>
  </si>
  <si>
    <t>10242</t>
  </si>
  <si>
    <t>경기도 고양시 일산서구 일현로 97-11</t>
  </si>
  <si>
    <t>2018.10.08</t>
  </si>
  <si>
    <t>이종형</t>
  </si>
  <si>
    <t>허은지</t>
  </si>
  <si>
    <t>gnxpower@naver.com</t>
  </si>
  <si>
    <t>010-9242-8303</t>
  </si>
  <si>
    <t>010-9799-3688</t>
  </si>
  <si>
    <t>Test date : 2024.11.29</t>
  </si>
  <si>
    <t>2020.08.24</t>
  </si>
  <si>
    <t>오연준</t>
  </si>
  <si>
    <t>YEONJOON OH</t>
  </si>
  <si>
    <t>Joon</t>
  </si>
  <si>
    <t>2025S1381</t>
  </si>
  <si>
    <t>10305</t>
  </si>
  <si>
    <t>경기도 고양시 일산동구 숲속마을1로 116, 709동 204호</t>
  </si>
  <si>
    <t>2019.03.24</t>
  </si>
  <si>
    <t>오승환</t>
  </si>
  <si>
    <t>김혜민</t>
  </si>
  <si>
    <t>Dannenam@naver.com, gracekim10@naver.com</t>
  </si>
  <si>
    <t>010-3356-4921</t>
  </si>
  <si>
    <t>010-3074-8898</t>
  </si>
  <si>
    <t>Test date: 2024.12.18</t>
  </si>
  <si>
    <t>이예윤</t>
  </si>
  <si>
    <t>10891</t>
  </si>
  <si>
    <t>이지율</t>
  </si>
  <si>
    <t>허예주</t>
  </si>
  <si>
    <t>YEJU HEO</t>
  </si>
  <si>
    <t>Christina</t>
  </si>
  <si>
    <t>2025S1385</t>
  </si>
  <si>
    <t>10374</t>
  </si>
  <si>
    <t>경기도 고양시 일산서구 강선로 169 건영15단지 1507동 201호</t>
  </si>
  <si>
    <t>2019.08.27</t>
  </si>
  <si>
    <t>허영진</t>
  </si>
  <si>
    <t>황의희</t>
  </si>
  <si>
    <t>gloryjin1031@naver.com, forestncloud@naver.com</t>
  </si>
  <si>
    <t>010-4549-1811</t>
  </si>
  <si>
    <t>010-3445-3652</t>
  </si>
  <si>
    <t>2025.2.13</t>
  </si>
  <si>
    <t>Test date: 2025.1.14</t>
  </si>
  <si>
    <t>김슬아</t>
  </si>
  <si>
    <t>SEUL-AH KIM</t>
  </si>
  <si>
    <t>2025F1408</t>
  </si>
  <si>
    <t>경기도 고양시 일산서구 일현로 97-11 제니스아파트 103동 4005호</t>
  </si>
  <si>
    <t>2019.6.26</t>
  </si>
  <si>
    <t>김슬기</t>
  </si>
  <si>
    <t>오은아</t>
  </si>
  <si>
    <t>cmal123@naver.com, ohnanas@naver.com</t>
  </si>
  <si>
    <t>Grace</t>
  </si>
  <si>
    <t>010-2362-0230</t>
  </si>
  <si>
    <t>010-7677-2220</t>
  </si>
  <si>
    <t>Test date: 2025.7.28</t>
  </si>
  <si>
    <t>고선</t>
  </si>
  <si>
    <t>이하진</t>
  </si>
  <si>
    <t>HAJIN LEE</t>
  </si>
  <si>
    <t>Ethan</t>
  </si>
  <si>
    <t>2026S1426</t>
  </si>
  <si>
    <t>곽병곤</t>
  </si>
  <si>
    <t>경기도 파주시 초롱꽃로 130, 1305-1203</t>
  </si>
  <si>
    <t>천은경</t>
  </si>
  <si>
    <t>2019.2.11</t>
  </si>
  <si>
    <t>010-5464-5715</t>
  </si>
  <si>
    <t>이청일</t>
  </si>
  <si>
    <t>고현진</t>
  </si>
  <si>
    <t>010-5034-5715</t>
  </si>
  <si>
    <t>hyungoh21@naver.com</t>
  </si>
  <si>
    <t>010-9973-8881</t>
  </si>
  <si>
    <t>Test date: 2025.12.16</t>
  </si>
  <si>
    <t>박다윗</t>
  </si>
  <si>
    <t>DAWIT PARK</t>
  </si>
  <si>
    <t>David</t>
  </si>
  <si>
    <t>정이레</t>
  </si>
  <si>
    <t>정이든</t>
  </si>
  <si>
    <t>곽인용</t>
  </si>
  <si>
    <t>곽하용</t>
  </si>
  <si>
    <t>2026S1433</t>
  </si>
  <si>
    <t>10902</t>
  </si>
  <si>
    <t>10560</t>
  </si>
  <si>
    <t>경기도 파주시 동패로 117, 217동 901호</t>
  </si>
  <si>
    <t>이도하</t>
  </si>
  <si>
    <t>2019.3.11</t>
  </si>
  <si>
    <t>박태규</t>
  </si>
  <si>
    <t>국이삭</t>
  </si>
  <si>
    <t>tkofroar@naver.com, pigppig@naver.com</t>
  </si>
  <si>
    <t>010-2790-0896</t>
  </si>
  <si>
    <t>010-3015-6773</t>
  </si>
  <si>
    <t>황희</t>
  </si>
  <si>
    <t>Test date: 2026.1.5</t>
  </si>
  <si>
    <t>김윤아</t>
  </si>
  <si>
    <t>이소민</t>
  </si>
  <si>
    <t>한동현</t>
  </si>
  <si>
    <t>강경호</t>
  </si>
  <si>
    <t>강동호</t>
  </si>
  <si>
    <t>원예한</t>
  </si>
  <si>
    <t>YEHAN WON</t>
  </si>
  <si>
    <t>Joshua</t>
  </si>
  <si>
    <t>2026S1442</t>
  </si>
  <si>
    <t>10091</t>
  </si>
  <si>
    <t>김동성</t>
  </si>
  <si>
    <t>경기도 김포시 태장로 845, 106동 2603호</t>
  </si>
  <si>
    <t>김하진</t>
  </si>
  <si>
    <t>임해영</t>
  </si>
  <si>
    <t>김리원</t>
  </si>
  <si>
    <t>picturebookmuseum@gmail.com</t>
  </si>
  <si>
    <t>2019.6.12</t>
  </si>
  <si>
    <t>원지훈</t>
  </si>
  <si>
    <t>010-7651-8610</t>
  </si>
  <si>
    <t>정세라</t>
  </si>
  <si>
    <t>jihwon@keymembers.co.kr, sera-jung@naver.com</t>
  </si>
  <si>
    <t>010-3068-6805</t>
  </si>
  <si>
    <t>010-7774-3525</t>
  </si>
  <si>
    <t>10083</t>
  </si>
  <si>
    <t>이시우</t>
  </si>
  <si>
    <t>Test date: 2026.1.21</t>
  </si>
  <si>
    <t>이시아</t>
  </si>
  <si>
    <t>이성일</t>
  </si>
  <si>
    <t>오시온</t>
  </si>
  <si>
    <t>오평안</t>
  </si>
  <si>
    <t>국지민</t>
  </si>
  <si>
    <t>ETHAN JUNG</t>
  </si>
  <si>
    <t>2025S1383</t>
  </si>
  <si>
    <t>한온유</t>
  </si>
  <si>
    <t>22872</t>
  </si>
  <si>
    <t>한온빛</t>
  </si>
  <si>
    <t>한온별</t>
  </si>
  <si>
    <t>경기도 파주시 산내로26, 408-1</t>
  </si>
  <si>
    <t>2019.07.26</t>
  </si>
  <si>
    <t>정다운</t>
  </si>
  <si>
    <t>김세린</t>
  </si>
  <si>
    <t>이지연</t>
  </si>
  <si>
    <t>김효린</t>
  </si>
  <si>
    <t>dwjung128@daum.net, babynoa82@gmail.com</t>
  </si>
  <si>
    <t>김설린</t>
  </si>
  <si>
    <t>010-8564-5220</t>
  </si>
  <si>
    <t>010-3429-5786</t>
  </si>
  <si>
    <t>Test date: 2024.12.23</t>
  </si>
  <si>
    <t>DOHA LEE</t>
  </si>
  <si>
    <t>강세찬</t>
  </si>
  <si>
    <t>강한나</t>
  </si>
  <si>
    <t>Doha</t>
  </si>
  <si>
    <t>2026F1459</t>
  </si>
  <si>
    <t>10325</t>
  </si>
  <si>
    <t>김영후</t>
  </si>
  <si>
    <t>김이든</t>
  </si>
  <si>
    <t>경기도 고양시 일산동구 위시티4로 79, 310동 1303호</t>
  </si>
  <si>
    <t>2019.7.17</t>
  </si>
  <si>
    <t>이대훈</t>
  </si>
  <si>
    <t>한세화</t>
  </si>
  <si>
    <t>daehunlee@gmail.com, sehwa0222@naver.com</t>
  </si>
  <si>
    <t>유하준</t>
  </si>
  <si>
    <t>010-8928-0863</t>
  </si>
  <si>
    <t>010-3164-6546</t>
  </si>
  <si>
    <t>유하연</t>
  </si>
  <si>
    <t>유하민</t>
  </si>
  <si>
    <t>Test date: 2026.07.14</t>
  </si>
  <si>
    <t>2021.08.23</t>
  </si>
  <si>
    <t>10072</t>
  </si>
  <si>
    <t>정주완</t>
  </si>
  <si>
    <t>Yunjoung Yoo</t>
  </si>
  <si>
    <t>HAMIN RYU</t>
  </si>
  <si>
    <t>2024S1322</t>
  </si>
  <si>
    <t>10894</t>
  </si>
  <si>
    <t>경기도 파주시 가온로 245, 동양월드 1012호 1203호</t>
  </si>
  <si>
    <t>10229</t>
  </si>
  <si>
    <t>2017.04.01</t>
  </si>
  <si>
    <t>유채훈</t>
  </si>
  <si>
    <t>양효진</t>
  </si>
  <si>
    <t>fbcogns@gmail.com, purpuryhj@naver.com</t>
  </si>
  <si>
    <t>010-7178-6088</t>
  </si>
  <si>
    <t>010-5594-6088</t>
  </si>
  <si>
    <t>2023.12.28</t>
  </si>
  <si>
    <t>Test date : 2023.11.29</t>
  </si>
  <si>
    <t>Sophia</t>
  </si>
  <si>
    <t>이단비</t>
  </si>
  <si>
    <t>10323</t>
  </si>
  <si>
    <t>DANBEE LEE</t>
  </si>
  <si>
    <t>DanBee</t>
  </si>
  <si>
    <t>2024F1371</t>
  </si>
  <si>
    <t>10907</t>
  </si>
  <si>
    <t>경기도 파주시 미래로 422, 한빛마을 1단지 106동 501호</t>
  </si>
  <si>
    <t>이용현</t>
  </si>
  <si>
    <t>김정명</t>
  </si>
  <si>
    <t>sudo3600@gmail.com, icell2007@naver.com</t>
  </si>
  <si>
    <t>2017.11.28</t>
  </si>
  <si>
    <t>010-3791-6116</t>
  </si>
  <si>
    <t>이수재</t>
  </si>
  <si>
    <t>010-5303-3681</t>
  </si>
  <si>
    <t>이세실</t>
  </si>
  <si>
    <t>Joy</t>
  </si>
  <si>
    <t>dmodule@naver.com, cecil0626@naver.com</t>
  </si>
  <si>
    <t>010-2782-5840</t>
  </si>
  <si>
    <t>010-3465-0626</t>
  </si>
  <si>
    <t>2024.08.21</t>
  </si>
  <si>
    <t>Test date: 2024.08.20</t>
  </si>
  <si>
    <t>허시언</t>
  </si>
  <si>
    <t>SIUN HEO</t>
  </si>
  <si>
    <t>Siun</t>
  </si>
  <si>
    <t>2025S1386</t>
  </si>
  <si>
    <t>2018.04.09</t>
  </si>
  <si>
    <t>John</t>
  </si>
  <si>
    <t>양총총</t>
  </si>
  <si>
    <t>이상우</t>
  </si>
  <si>
    <t>CONGCONG YANG</t>
  </si>
  <si>
    <t>Calvin</t>
  </si>
  <si>
    <t>이서우</t>
  </si>
  <si>
    <t>2025S1388</t>
  </si>
  <si>
    <t>파주시 와동동 1471-3</t>
  </si>
  <si>
    <t>2018.07.03</t>
  </si>
  <si>
    <t>양금모</t>
  </si>
  <si>
    <t>234174417@qq.com, mala2019@naver.com</t>
  </si>
  <si>
    <t>010-5675-6015</t>
  </si>
  <si>
    <t>2025.2.4</t>
  </si>
  <si>
    <t>Test date: 2025.1.17</t>
  </si>
  <si>
    <t>김태경</t>
  </si>
  <si>
    <t>TAEGYEONG KIM</t>
  </si>
  <si>
    <t>Daniel</t>
  </si>
  <si>
    <t>2025S1390</t>
  </si>
  <si>
    <t>10360</t>
  </si>
  <si>
    <t>경기도 고양시 일산서구 일산로 487, 1802-805</t>
  </si>
  <si>
    <t>2018.05.08</t>
  </si>
  <si>
    <t>김내섭</t>
  </si>
  <si>
    <t>손예나</t>
  </si>
  <si>
    <t>송민정</t>
  </si>
  <si>
    <t>손유나</t>
  </si>
  <si>
    <t>kim8598634@naver.com, babasister@naver.com</t>
  </si>
  <si>
    <t>010-8780-3319</t>
  </si>
  <si>
    <t>10893</t>
  </si>
  <si>
    <t>010-5566-5275</t>
  </si>
  <si>
    <t>Test date: 2025.1.31</t>
  </si>
  <si>
    <t>구하은</t>
  </si>
  <si>
    <t>구하준</t>
  </si>
  <si>
    <t>김다엘</t>
  </si>
  <si>
    <t>DAEL KIM</t>
  </si>
  <si>
    <t>Dael</t>
  </si>
  <si>
    <t>2025F1410</t>
  </si>
  <si>
    <t>10301</t>
  </si>
  <si>
    <t>경기도 고양시 일산동구 애니골길 14-51, 삼성캐슬7빌리지 302호</t>
  </si>
  <si>
    <t>2018.5.29</t>
  </si>
  <si>
    <t>김진영</t>
  </si>
  <si>
    <t>김채희</t>
  </si>
  <si>
    <t>g3renergy@g3consultant.co.kr, chsposa@naver.com</t>
  </si>
  <si>
    <t>010-4621-8376</t>
  </si>
  <si>
    <t>010-3921-0238</t>
  </si>
  <si>
    <t>윤석현</t>
  </si>
  <si>
    <t>윤유림</t>
  </si>
  <si>
    <t>정유찬</t>
  </si>
  <si>
    <t>YUCHAN CHUNG</t>
  </si>
  <si>
    <t>Chris</t>
  </si>
  <si>
    <t>2025F1420</t>
  </si>
  <si>
    <t>10066</t>
  </si>
  <si>
    <t>성혜주</t>
  </si>
  <si>
    <t>경기도 김포시 김포한강4로 471, 204동 503호</t>
  </si>
  <si>
    <t>성혜인</t>
  </si>
  <si>
    <t>2017.12.10</t>
  </si>
  <si>
    <t>정윤성</t>
  </si>
  <si>
    <t>박소진</t>
  </si>
  <si>
    <t>38captain@naver.com, sojinfriend@naver.com</t>
  </si>
  <si>
    <t>010-7377-5372</t>
  </si>
  <si>
    <t>010-2042-7254</t>
  </si>
  <si>
    <t>010-2136-7254</t>
  </si>
  <si>
    <t>2025.9.15</t>
  </si>
  <si>
    <t>Test date : 2025.9.12</t>
  </si>
  <si>
    <t>양희람</t>
  </si>
  <si>
    <t>양희솔</t>
  </si>
  <si>
    <t>박찬혁</t>
  </si>
  <si>
    <t>CHANHYEOK PARK</t>
  </si>
  <si>
    <t>Robin</t>
  </si>
  <si>
    <t>2026S1439</t>
  </si>
  <si>
    <t>10306</t>
  </si>
  <si>
    <t>경기도 고양시 일산동구 숲속마을1로 87(507동 403호)</t>
  </si>
  <si>
    <t>2018.08.08</t>
  </si>
  <si>
    <t>박경재</t>
  </si>
  <si>
    <t>이윤정</t>
  </si>
  <si>
    <t>jerrypat@naver.com, xileguang@naver.com</t>
  </si>
  <si>
    <t>010-9992-2024</t>
  </si>
  <si>
    <t>010-3016-4716</t>
  </si>
  <si>
    <t>Test date: 2026.1.16</t>
  </si>
  <si>
    <t>김은솔</t>
  </si>
  <si>
    <t>김은찬</t>
  </si>
  <si>
    <t>신예나</t>
  </si>
  <si>
    <t>YENA SHIN</t>
  </si>
  <si>
    <t>Yena</t>
  </si>
  <si>
    <t>2026S1443</t>
  </si>
  <si>
    <t>10068</t>
  </si>
  <si>
    <t>경기도 김포시 김포한강8로 118, 408동 110호</t>
  </si>
  <si>
    <t>탁세은</t>
  </si>
  <si>
    <t>탁태원</t>
  </si>
  <si>
    <t>2018.8.5</t>
  </si>
  <si>
    <t>신진호</t>
  </si>
  <si>
    <t>김지혜</t>
  </si>
  <si>
    <t>davidchinhoshin@gmail.com, forallekinder@gmail.com</t>
  </si>
  <si>
    <t>010-8910-4262</t>
  </si>
  <si>
    <t>010-8797-4262</t>
  </si>
  <si>
    <t>한예원</t>
  </si>
  <si>
    <t>한예주</t>
  </si>
  <si>
    <t>Test date: 2026.1.22</t>
  </si>
  <si>
    <t>이주호</t>
  </si>
  <si>
    <t>이준수</t>
  </si>
  <si>
    <t>JUNSOO LEE</t>
  </si>
  <si>
    <t>junsoo</t>
  </si>
  <si>
    <t>2026S1449</t>
  </si>
  <si>
    <t>박하온</t>
  </si>
  <si>
    <t>박하빈</t>
  </si>
  <si>
    <t>2017.8.12</t>
  </si>
  <si>
    <t>2018년 봄학기 입학예정</t>
  </si>
  <si>
    <t>Ellie</t>
  </si>
  <si>
    <t>2026.3.2</t>
  </si>
  <si>
    <t>Test date: 2026.02.26</t>
  </si>
  <si>
    <t>김다연</t>
  </si>
  <si>
    <t>HYEJOO SUNG</t>
  </si>
  <si>
    <t>Liah</t>
  </si>
  <si>
    <t>2024F1354</t>
  </si>
  <si>
    <t>10885</t>
  </si>
  <si>
    <t>경기도 파주시 패랭이길 41</t>
  </si>
  <si>
    <t>10904</t>
  </si>
  <si>
    <t>2017.12.16</t>
  </si>
  <si>
    <t>성정수</t>
  </si>
  <si>
    <t>신유라</t>
  </si>
  <si>
    <t>susla@naver.com, ura8407@naver.com</t>
  </si>
  <si>
    <t>010-5021-1897</t>
  </si>
  <si>
    <t>010-8218-1900</t>
  </si>
  <si>
    <t>2024.08.19</t>
  </si>
  <si>
    <t>Test date: 2024.07.12</t>
  </si>
  <si>
    <t>Jinny Park</t>
  </si>
  <si>
    <t>평도윤</t>
  </si>
  <si>
    <t>DOYOON PYUNG</t>
  </si>
  <si>
    <t>Eric</t>
  </si>
  <si>
    <t>2022F0801</t>
  </si>
  <si>
    <t>경기도 파주시 한울로 101 휴먼시아한울마을 411-403</t>
  </si>
  <si>
    <t>2016.12.16</t>
  </si>
  <si>
    <t>psk070280@gmail.com , onlyta73@naver.com</t>
  </si>
  <si>
    <t>010-9798-1324</t>
  </si>
  <si>
    <t>Test date: 2022.08.12</t>
  </si>
  <si>
    <t>신유아</t>
  </si>
  <si>
    <t>YOOAH XIN</t>
  </si>
  <si>
    <t>2023S0109</t>
  </si>
  <si>
    <t>10393</t>
  </si>
  <si>
    <t>경기도 고양시 일산동구 연리지로 50 킨텍스힐스테이트레이크뷰 103-402</t>
  </si>
  <si>
    <t>2016.10.22</t>
  </si>
  <si>
    <t>신준</t>
  </si>
  <si>
    <t>김송이</t>
  </si>
  <si>
    <t>ssongei@nate.com</t>
  </si>
  <si>
    <t>010-3199-8896</t>
  </si>
  <si>
    <t>010-9345-9123</t>
  </si>
  <si>
    <t>010-8331-0191</t>
  </si>
  <si>
    <t>2023.1.18</t>
  </si>
  <si>
    <t>HANNA KANG</t>
  </si>
  <si>
    <t>Hanna</t>
  </si>
  <si>
    <t>2023F1306</t>
  </si>
  <si>
    <t>경기도 파주시 교하로 100, 힐스테이트 운정 923동 304호</t>
  </si>
  <si>
    <t>2017.03.09</t>
  </si>
  <si>
    <t>강진석</t>
  </si>
  <si>
    <t>이민혜</t>
  </si>
  <si>
    <t>qntks486@gmail.com, jsgonnasky@gmail.com</t>
  </si>
  <si>
    <t>2010.11.16</t>
  </si>
  <si>
    <t>010-6488-3840</t>
  </si>
  <si>
    <t>010-6558-3630</t>
  </si>
  <si>
    <t>Test date: 2023.08.02</t>
  </si>
  <si>
    <t>JIREH JUNG</t>
  </si>
  <si>
    <t>Jireh</t>
  </si>
  <si>
    <t>2024S1319</t>
  </si>
  <si>
    <t>Ella</t>
  </si>
  <si>
    <t>2017.02.02</t>
  </si>
  <si>
    <t>2024.1.18</t>
  </si>
  <si>
    <t xml:space="preserve">Test date : 2023.11.23                          </t>
  </si>
  <si>
    <t>김지행</t>
  </si>
  <si>
    <t>JIHAENG KIM</t>
  </si>
  <si>
    <t>Jihaeng</t>
  </si>
  <si>
    <t>2024S1336</t>
  </si>
  <si>
    <t xml:space="preserve">경기도 고양시 일산서구 하이파크3로 61 하이파크4단지 413동 102호 </t>
  </si>
  <si>
    <t>2017.8.22</t>
  </si>
  <si>
    <t>김성룡</t>
  </si>
  <si>
    <t>우주희</t>
  </si>
  <si>
    <t>worldmantoo@gmail.com, skycherry0114@gmail.com</t>
  </si>
  <si>
    <t>010-9178-0938</t>
  </si>
  <si>
    <t>010-3469-3503</t>
  </si>
  <si>
    <t>Test date : 2023.12.05</t>
  </si>
  <si>
    <t>SUHU LEE</t>
  </si>
  <si>
    <t>Lizzy</t>
  </si>
  <si>
    <t>2024S1331</t>
  </si>
  <si>
    <t>10210</t>
  </si>
  <si>
    <t>경기도 고양시 일산서구 가좌2로 53 307동 106호</t>
  </si>
  <si>
    <t>2017.02.14</t>
  </si>
  <si>
    <t>이재원</t>
  </si>
  <si>
    <t>이영은</t>
  </si>
  <si>
    <t>lee.jaewonye@gmail.com, lee.michelleye@gmail.com</t>
  </si>
  <si>
    <t>010-9099-1145</t>
  </si>
  <si>
    <t>010-2584-9099</t>
  </si>
  <si>
    <t>Test date :2024.01.09</t>
  </si>
  <si>
    <t>ONBYEOL HAN</t>
  </si>
  <si>
    <t>Onbyeol</t>
  </si>
  <si>
    <t>2024S1337</t>
  </si>
  <si>
    <t>10239</t>
  </si>
  <si>
    <t>경기도 고양시 탄현로 133 임광진흥 113-401</t>
  </si>
  <si>
    <t>2017.03.20</t>
  </si>
  <si>
    <t>한만희</t>
  </si>
  <si>
    <t>정선영</t>
  </si>
  <si>
    <t xml:space="preserve"> yam7355@naver.com</t>
  </si>
  <si>
    <t>010-5163-1889</t>
  </si>
  <si>
    <t>010-5153-7355</t>
  </si>
  <si>
    <t>Test date :2024.01.17</t>
  </si>
  <si>
    <t>송현석</t>
  </si>
  <si>
    <t>HYUNSEOK SONG</t>
  </si>
  <si>
    <t>Luca</t>
  </si>
  <si>
    <t>2026S1431</t>
  </si>
  <si>
    <t>22860</t>
  </si>
  <si>
    <t>인천서구 서로 3로 277, 로제비앙라포레 2809동 804호</t>
  </si>
  <si>
    <t>2016.10.19</t>
  </si>
  <si>
    <t>송동렬</t>
  </si>
  <si>
    <t>곽정하</t>
  </si>
  <si>
    <t>song0215@daum.net, ckck919@naver.com</t>
  </si>
  <si>
    <t>010-8826-9739</t>
  </si>
  <si>
    <t>010-8583-9739</t>
  </si>
  <si>
    <t>010-3612-1019</t>
  </si>
  <si>
    <t>Test date: 2025.12.18</t>
  </si>
  <si>
    <t>박하준</t>
  </si>
  <si>
    <t>2017.11.29(test)</t>
  </si>
  <si>
    <t>DANIEL HAJOON PARK</t>
  </si>
  <si>
    <t>2026S1441</t>
  </si>
  <si>
    <t>파주시 초롱꽃로 130 디에트르 더퍼스트 1301동 903호</t>
  </si>
  <si>
    <t>2017.1.29</t>
  </si>
  <si>
    <t>박보민</t>
  </si>
  <si>
    <t>고은진</t>
  </si>
  <si>
    <t>bominpark88@gmail.com, eunjingoh@gmail.com</t>
  </si>
  <si>
    <t>010-4930-8803</t>
  </si>
  <si>
    <t>2022.01.24</t>
  </si>
  <si>
    <t>010-3125-5355</t>
  </si>
  <si>
    <t>Test date: 2022.01.12</t>
  </si>
  <si>
    <t>10874</t>
  </si>
  <si>
    <t>조기웅</t>
  </si>
  <si>
    <t>정미경</t>
  </si>
  <si>
    <t>flygillian@naver.com</t>
  </si>
  <si>
    <t>010-9003-9929</t>
  </si>
  <si>
    <t>010-7362-1262</t>
  </si>
  <si>
    <t>이우림</t>
  </si>
  <si>
    <t>URIM LEE</t>
  </si>
  <si>
    <t>Urim</t>
  </si>
  <si>
    <t>2025F1421</t>
  </si>
  <si>
    <t>22647</t>
  </si>
  <si>
    <t>경기도 김포시  걸포1로40, 107-601</t>
  </si>
  <si>
    <t>2016.12.28</t>
  </si>
  <si>
    <t>이은총</t>
  </si>
  <si>
    <t>김서희</t>
  </si>
  <si>
    <t>2silvergun@daum.net, s80423@naver.com</t>
  </si>
  <si>
    <t>010-2699-2080</t>
  </si>
  <si>
    <t>010-8948-0260</t>
  </si>
  <si>
    <t>010-2115-0260</t>
  </si>
  <si>
    <t>JOOWAN JEONG</t>
  </si>
  <si>
    <t>Joowan</t>
  </si>
  <si>
    <t>2023F1297</t>
  </si>
  <si>
    <t>2017.09.12</t>
  </si>
  <si>
    <t>2023.06.28</t>
  </si>
  <si>
    <t>Test date: 2023.03.03</t>
  </si>
  <si>
    <t>2014.08.11</t>
  </si>
  <si>
    <t>Test date: 2020.06.18</t>
  </si>
  <si>
    <t>김진</t>
  </si>
  <si>
    <t>Daniel Kim</t>
  </si>
  <si>
    <t>Sarah</t>
  </si>
  <si>
    <t>김로하</t>
  </si>
  <si>
    <t>LOHA KIM</t>
  </si>
  <si>
    <t>Loha</t>
  </si>
  <si>
    <t>2022F0605</t>
  </si>
  <si>
    <t>10876</t>
  </si>
  <si>
    <t>경기도 파주시 교하로 55 산내마을 5단지 505동 701호</t>
  </si>
  <si>
    <t>2016.01.06</t>
  </si>
  <si>
    <t>김동현</t>
  </si>
  <si>
    <t>안소영</t>
  </si>
  <si>
    <t>donghyunkim@yahoo.com, coramdeo517@hanmail.net, bowdown@gmail.com</t>
  </si>
  <si>
    <t>010-5555-4565</t>
  </si>
  <si>
    <t>010-8373-4565</t>
  </si>
  <si>
    <t>2022.06.29</t>
  </si>
  <si>
    <t>Test date: 2022.05.30</t>
  </si>
  <si>
    <t>SIA LEE</t>
  </si>
  <si>
    <t>2022F0608</t>
  </si>
  <si>
    <t>10898</t>
  </si>
  <si>
    <t>경기도 파주시 가온로 205 (해솔마을 7단지 롯데캐슬), 709동 2702호</t>
  </si>
  <si>
    <t>2016.07.15</t>
  </si>
  <si>
    <t>이광섭</t>
  </si>
  <si>
    <t>박진희</t>
  </si>
  <si>
    <t>bluewind20@hanmail.net, pjhkum@gmail.com</t>
  </si>
  <si>
    <t>010-9085-2099</t>
  </si>
  <si>
    <t>010-2689-2176</t>
  </si>
  <si>
    <t>Test date: 2022.06.14</t>
  </si>
  <si>
    <t>이기쁨</t>
  </si>
  <si>
    <t>GIPPEUM LEE</t>
  </si>
  <si>
    <t>Cindy</t>
  </si>
  <si>
    <t>2023F1309</t>
  </si>
  <si>
    <t>일산서구 일현로97-11위브더제니스108동2304호</t>
  </si>
  <si>
    <t>2015.09.04</t>
  </si>
  <si>
    <t>이영근</t>
  </si>
  <si>
    <t>원민정</t>
  </si>
  <si>
    <t>pop1eye@naver.com</t>
  </si>
  <si>
    <t>010-9876-7005</t>
  </si>
  <si>
    <t>010-6672-7004</t>
  </si>
  <si>
    <t>010-8232-0276</t>
  </si>
  <si>
    <t>2023.08.21</t>
  </si>
  <si>
    <t>Test date : 2023.08.11</t>
  </si>
  <si>
    <t>정지민</t>
  </si>
  <si>
    <t>JIMIN JUNG</t>
  </si>
  <si>
    <t>Jenny</t>
  </si>
  <si>
    <t>2023F1313</t>
  </si>
  <si>
    <t>경기도 파주시 책향기숲길 77 윈슬카운티 610호</t>
  </si>
  <si>
    <t>2015.09.18</t>
  </si>
  <si>
    <t>정원식</t>
  </si>
  <si>
    <t>차지현</t>
  </si>
  <si>
    <t>depo0125@naver.com, ukaris@naver.com</t>
  </si>
  <si>
    <t>010-9453-3033</t>
  </si>
  <si>
    <t>010-5150-4442</t>
  </si>
  <si>
    <t>010-4960-3690</t>
  </si>
  <si>
    <t>2023.08.31</t>
  </si>
  <si>
    <t>Test date : 2023.08.30</t>
  </si>
  <si>
    <t>Joseph</t>
  </si>
  <si>
    <t>YOOLIM YOON</t>
  </si>
  <si>
    <t xml:space="preserve">Hannah </t>
  </si>
  <si>
    <t>2024S1335</t>
  </si>
  <si>
    <t>경기도 김포시 김포한강1로 309, 한신더휴테라스 1102동 406호</t>
  </si>
  <si>
    <t>2015.08.20</t>
  </si>
  <si>
    <t>윤준항</t>
  </si>
  <si>
    <t>진명희</t>
  </si>
  <si>
    <t>protein365@goodnewscorp.net, protein247@goodnewscorp.net</t>
  </si>
  <si>
    <t>010-2000-4767</t>
  </si>
  <si>
    <t>010-4757-0408</t>
  </si>
  <si>
    <t>010-8343-4767</t>
  </si>
  <si>
    <t>Test date :2024.01.18</t>
  </si>
  <si>
    <t>김아인</t>
  </si>
  <si>
    <t xml:space="preserve">AIN KIM </t>
  </si>
  <si>
    <t>Ain</t>
  </si>
  <si>
    <t>2023S0108</t>
  </si>
  <si>
    <t>경기도 파주시 청석로 350 운정동문디이스트 813-803</t>
  </si>
  <si>
    <t>2016.07.28</t>
  </si>
  <si>
    <t>김건영</t>
  </si>
  <si>
    <t>이수경</t>
  </si>
  <si>
    <t>sk24402440@kakao.com</t>
  </si>
  <si>
    <t>010-5015-6937</t>
  </si>
  <si>
    <t>010-5025-6937</t>
  </si>
  <si>
    <t>한예리</t>
  </si>
  <si>
    <t>YERI HAN</t>
  </si>
  <si>
    <t>2026S1447</t>
  </si>
  <si>
    <t xml:space="preserve">경기도 고양시 일산서구 일현로 97-11, 107동 1904호 (탄현동,두산위브더제니스)        </t>
  </si>
  <si>
    <t>2016.06.27</t>
  </si>
  <si>
    <t>한현진</t>
  </si>
  <si>
    <t>이지은</t>
  </si>
  <si>
    <t>hjhan@biodot.co.kr, sonnette4u@gmail.com</t>
  </si>
  <si>
    <t>010-6335-2656</t>
  </si>
  <si>
    <t>010-6272-2656</t>
  </si>
  <si>
    <t>2026.2.25</t>
  </si>
  <si>
    <t>Test date: 2026.02.20</t>
  </si>
  <si>
    <t>ISAAC KUG</t>
  </si>
  <si>
    <t>Isaac</t>
  </si>
  <si>
    <t>2026F1465</t>
  </si>
  <si>
    <t>경기도 파주시 심학산로 384 운정신도시 아이파크 112동 1804호</t>
  </si>
  <si>
    <t>2015.4.20</t>
  </si>
  <si>
    <t>국민재</t>
  </si>
  <si>
    <t>김화영</t>
  </si>
  <si>
    <t>joyfulday2024@gmail.com, daniel@jcookdairy.com</t>
  </si>
  <si>
    <t>010-7739-9650</t>
  </si>
  <si>
    <t>010-6428-7612</t>
  </si>
  <si>
    <t>박세준</t>
  </si>
  <si>
    <t>SEJUN PARK</t>
  </si>
  <si>
    <t>2025S1382</t>
  </si>
  <si>
    <t>10304</t>
  </si>
  <si>
    <t>경기 고양시 일산동구 은행마을로 16, 은행마을 1단지</t>
  </si>
  <si>
    <t>2015.12.29</t>
  </si>
  <si>
    <t>박대식</t>
  </si>
  <si>
    <t>신현정</t>
  </si>
  <si>
    <t>krocabi@hanmail.net</t>
  </si>
  <si>
    <t>010-3305-9680</t>
  </si>
  <si>
    <t>010-6298-1402</t>
  </si>
  <si>
    <t>010-3198-9680</t>
  </si>
  <si>
    <t>Rachel</t>
  </si>
  <si>
    <t>Monica Ryu</t>
  </si>
  <si>
    <t>SIWOO LEE</t>
  </si>
  <si>
    <t>2020F0101</t>
  </si>
  <si>
    <t>경기도 파주시 가온로 205, 해솔마을 7단지 709동 2702호</t>
  </si>
  <si>
    <t>2014.11.02</t>
  </si>
  <si>
    <t>10906</t>
  </si>
  <si>
    <t>손정호</t>
  </si>
  <si>
    <t>김명선</t>
  </si>
  <si>
    <t>010-2260-2897</t>
  </si>
  <si>
    <t>010-7407-7759</t>
  </si>
  <si>
    <t>ONBIT HAN</t>
  </si>
  <si>
    <t>Onbit</t>
  </si>
  <si>
    <t>2021S0104</t>
  </si>
  <si>
    <t>2014.11.13</t>
  </si>
  <si>
    <t>010-5137-7355</t>
  </si>
  <si>
    <t>2021.03.02</t>
  </si>
  <si>
    <t>Test date: 2020.02.23</t>
  </si>
  <si>
    <t>SECHAN KANG</t>
  </si>
  <si>
    <t>2021S0207</t>
  </si>
  <si>
    <t>PYEONGAN OH</t>
  </si>
  <si>
    <t>Pyeong an</t>
  </si>
  <si>
    <t>2022F0701</t>
  </si>
  <si>
    <t>22631</t>
  </si>
  <si>
    <t>인천시 서구 동화시로 97, 금강펜테리움3차 4805동 1403호</t>
  </si>
  <si>
    <t>2014.12.26</t>
  </si>
  <si>
    <t>오기택</t>
  </si>
  <si>
    <t>조혜정</t>
  </si>
  <si>
    <t>snake2337@naver.com , cuculis@naver.com</t>
  </si>
  <si>
    <t>010-9065-9335</t>
  </si>
  <si>
    <t>010-7275-0992</t>
  </si>
  <si>
    <t>010-9007-0992</t>
  </si>
  <si>
    <t>2022.07.08</t>
  </si>
  <si>
    <t>Test date: 2022.07.06</t>
  </si>
  <si>
    <t>임하랑</t>
  </si>
  <si>
    <t xml:space="preserve"> HARANG LIM</t>
  </si>
  <si>
    <t>Harang</t>
  </si>
  <si>
    <t>2023S0116</t>
  </si>
  <si>
    <t>경기도 고양시 일산동구 풍동 숲속마을1로 87 505동 204호</t>
  </si>
  <si>
    <t>2014.10.16</t>
  </si>
  <si>
    <t>임희성</t>
  </si>
  <si>
    <t>우수현</t>
  </si>
  <si>
    <t>baritonelim@naver.com, sean6413@gmail.com</t>
  </si>
  <si>
    <t>010-9270-0730</t>
  </si>
  <si>
    <t xml:space="preserve">010-9969-6413 </t>
  </si>
  <si>
    <t>010-5732-6413</t>
  </si>
  <si>
    <t>2023.1.31</t>
  </si>
  <si>
    <t>Test date: 2023.01.31</t>
  </si>
  <si>
    <t>JIYUL LEE</t>
  </si>
  <si>
    <t>2025F1413</t>
  </si>
  <si>
    <t>경기도 고양시 일산동구 위시티 4로 45, 411동 1902호</t>
  </si>
  <si>
    <t>2014.5.20</t>
  </si>
  <si>
    <t>010-6435-6116</t>
  </si>
  <si>
    <t>Test date: 2025.7.31</t>
  </si>
  <si>
    <t>JUHO LEE</t>
  </si>
  <si>
    <t>Juho</t>
  </si>
  <si>
    <t>2026S1427</t>
  </si>
  <si>
    <t>2015.6.17</t>
  </si>
  <si>
    <t>010-8767-7134</t>
  </si>
  <si>
    <t>010-5699-7134</t>
  </si>
  <si>
    <t>Olivia</t>
  </si>
  <si>
    <t>이이든</t>
  </si>
  <si>
    <t>EDEN LEE</t>
  </si>
  <si>
    <t>Eden</t>
  </si>
  <si>
    <t>2026S1424</t>
  </si>
  <si>
    <t>경기도 고양시 일산동구 위시티 2로 11번길 11, 101-1204</t>
  </si>
  <si>
    <t>2014.8.18</t>
  </si>
  <si>
    <t>이대성</t>
  </si>
  <si>
    <t>강인경</t>
  </si>
  <si>
    <t>white0377@gmail.com, kathy428@naver.com</t>
  </si>
  <si>
    <t>010-2124-4280</t>
  </si>
  <si>
    <t>010-9367-4280</t>
  </si>
  <si>
    <t>010-5716-5036</t>
  </si>
  <si>
    <t>Test date: 2025.12.08</t>
  </si>
  <si>
    <t>한예나</t>
  </si>
  <si>
    <t>YENA HAN</t>
  </si>
  <si>
    <t>2026S1446</t>
  </si>
  <si>
    <t>2014.01.24</t>
  </si>
  <si>
    <t>이태이</t>
  </si>
  <si>
    <t>TAY LEE</t>
  </si>
  <si>
    <t>Tay</t>
  </si>
  <si>
    <t>2026S1448</t>
  </si>
  <si>
    <t>10375</t>
  </si>
  <si>
    <t>경기도 고양시 일산서구 강선로 141 후곡16단지 1608-103</t>
  </si>
  <si>
    <t>2014.11.12</t>
  </si>
  <si>
    <t>이장욱</t>
  </si>
  <si>
    <t>titi337@naver.com, jean.likeclay@gmail.com</t>
  </si>
  <si>
    <t>010-6639-7725</t>
  </si>
  <si>
    <t>010-3786-9248</t>
  </si>
  <si>
    <t>010-4806-0765</t>
  </si>
  <si>
    <t>2026.3.4</t>
  </si>
  <si>
    <t>Test date: 2026.02.27</t>
  </si>
  <si>
    <t>최승재</t>
  </si>
  <si>
    <t>SEUNGJAE CHOI</t>
  </si>
  <si>
    <t>Tim</t>
  </si>
  <si>
    <t>Bella</t>
  </si>
  <si>
    <t>2025F1402</t>
  </si>
  <si>
    <t>Philip</t>
  </si>
  <si>
    <t>경기도 고양시 일산동구 위시티 2로 11번길 11, 101-1803</t>
  </si>
  <si>
    <t>2014.08.03</t>
  </si>
  <si>
    <t>최성호</t>
  </si>
  <si>
    <t>윤명화</t>
  </si>
  <si>
    <t>ares5675@naver.com, hwr3480@naver.com</t>
  </si>
  <si>
    <t>010-8744-4235</t>
  </si>
  <si>
    <t>010-4705-3955</t>
  </si>
  <si>
    <t>010-8402-4705</t>
  </si>
  <si>
    <t>Test date: 2025.6.13</t>
  </si>
  <si>
    <t xml:space="preserve">Sora Kang
</t>
  </si>
  <si>
    <t>김조이</t>
  </si>
  <si>
    <t>JOY KIM</t>
  </si>
  <si>
    <t>2020F0102</t>
  </si>
  <si>
    <t>경기도 파주시 가온로205 롯데캐슬 712동 704호(10898)</t>
  </si>
  <si>
    <t>2014.09.19</t>
  </si>
  <si>
    <t>김정곤</t>
  </si>
  <si>
    <t>강지애</t>
  </si>
  <si>
    <t>wjdrhs@hanmail.net, whdlaka78@gmail.com</t>
  </si>
  <si>
    <t>010-6294-6416</t>
  </si>
  <si>
    <t>010-6220-1847</t>
  </si>
  <si>
    <t>010-6214-1847</t>
  </si>
  <si>
    <t>HAYEON RYU</t>
  </si>
  <si>
    <t>Hayeon</t>
  </si>
  <si>
    <t>2024S1321</t>
  </si>
  <si>
    <t>2013.05.26</t>
  </si>
  <si>
    <t>010-9436-2865</t>
  </si>
  <si>
    <t>SANGWOO LEE</t>
  </si>
  <si>
    <t>Timmy</t>
  </si>
  <si>
    <t>2024S1330</t>
  </si>
  <si>
    <t>2014.02.25</t>
  </si>
  <si>
    <t>Jacob</t>
  </si>
  <si>
    <t>HAJUN KOO</t>
  </si>
  <si>
    <t>2024S1333</t>
  </si>
  <si>
    <t>10119</t>
  </si>
  <si>
    <t>경기 김포시 풍무로 35 당곡현대@ 208동 1204호</t>
  </si>
  <si>
    <t>2013.10.21</t>
  </si>
  <si>
    <t>구자윤</t>
  </si>
  <si>
    <t>정인애</t>
  </si>
  <si>
    <t>kjy0007@naver.com, koomose@gmail.com</t>
  </si>
  <si>
    <t>010-5578-2411</t>
  </si>
  <si>
    <t>010-7276-8338</t>
  </si>
  <si>
    <t>010-4982-4211</t>
  </si>
  <si>
    <t>DAYEON KIM</t>
  </si>
  <si>
    <t>Dayeon</t>
  </si>
  <si>
    <t>2024S1332</t>
  </si>
  <si>
    <t>2013.02.21</t>
  </si>
  <si>
    <t>010-7257-0232</t>
  </si>
  <si>
    <t>Test date :2024.01.10</t>
  </si>
  <si>
    <t>윤라엘</t>
  </si>
  <si>
    <t>LAEL YOON</t>
  </si>
  <si>
    <t>Lael</t>
  </si>
  <si>
    <t>2024F1347</t>
  </si>
  <si>
    <t>10080</t>
  </si>
  <si>
    <t>경기도 김포시 김포한강 1로 129, 범양레우스라세느 103동 202호</t>
  </si>
  <si>
    <t>2014.01.03</t>
  </si>
  <si>
    <t>윤건수</t>
  </si>
  <si>
    <t>홍지연</t>
  </si>
  <si>
    <t>realupset@naver.com, lael0103@naver.com</t>
  </si>
  <si>
    <t>010-3442-1148</t>
  </si>
  <si>
    <t>010-6635-5019</t>
  </si>
  <si>
    <t>010-9936-5019</t>
  </si>
  <si>
    <t>Test date: 2024.05.28</t>
  </si>
  <si>
    <t>RIAH H.YANG</t>
  </si>
  <si>
    <t>Riah</t>
  </si>
  <si>
    <t>2024F1366</t>
  </si>
  <si>
    <t>10450</t>
  </si>
  <si>
    <t>경기도 일산동구 강송로 33 요진와이시티 103동 5904호</t>
  </si>
  <si>
    <t>2013.09.18</t>
  </si>
  <si>
    <t>양정모</t>
  </si>
  <si>
    <t>안미선</t>
  </si>
  <si>
    <r>
      <rPr>
        <u/>
        <sz val="9"/>
        <color rgb="FF1155CC"/>
        <rFont val="Arial"/>
        <family val="2"/>
      </rPr>
      <t>callme.mr</t>
    </r>
    <r>
      <rPr>
        <sz val="9"/>
        <color theme="1"/>
        <rFont val="Arial"/>
        <family val="2"/>
      </rPr>
      <t>.mo@gmail.com, misunjennyan@gmail.com</t>
    </r>
  </si>
  <si>
    <t>010-4548-3577</t>
  </si>
  <si>
    <t>010-9064-8265</t>
  </si>
  <si>
    <t>010-9206-2013</t>
  </si>
  <si>
    <t>Test date: 2024.08.13</t>
  </si>
  <si>
    <t>DONG HO KANG</t>
  </si>
  <si>
    <t>2025S1393</t>
  </si>
  <si>
    <t>경기도 고양시 일산동구 강송로 33 요진와이시티 104동 1601호</t>
  </si>
  <si>
    <t>2013.08.26</t>
  </si>
  <si>
    <t>강태연</t>
  </si>
  <si>
    <t>서지현</t>
  </si>
  <si>
    <t>rkelly3679@hotmail.com, seoji217@naver.com</t>
  </si>
  <si>
    <t>010-9229-2224</t>
  </si>
  <si>
    <t>010-4059-2224</t>
  </si>
  <si>
    <t>010-6449-4230</t>
  </si>
  <si>
    <t>2025.3.10</t>
  </si>
  <si>
    <t>Test date: 2025.3.4</t>
  </si>
  <si>
    <t>윤건우</t>
  </si>
  <si>
    <t>KEONWOO YUN</t>
  </si>
  <si>
    <t>KEONWOO</t>
  </si>
  <si>
    <t>2026S1435</t>
  </si>
  <si>
    <t>경기도 김포시 태장로 845, 한강센트럴자이 109동 401호</t>
  </si>
  <si>
    <t>2013.3.31</t>
  </si>
  <si>
    <t>윤동주</t>
  </si>
  <si>
    <t>최지현</t>
  </si>
  <si>
    <t>opinionpower@naver.com, estelle4791@hanmail.net</t>
  </si>
  <si>
    <t>010-3329-6245</t>
  </si>
  <si>
    <t>010-3257-9457</t>
  </si>
  <si>
    <t>010-7644-6245</t>
  </si>
  <si>
    <t>Test date: 2026.1.8</t>
  </si>
  <si>
    <t>양시온</t>
  </si>
  <si>
    <t>SION YANG</t>
  </si>
  <si>
    <t>Sion</t>
  </si>
  <si>
    <t>2026S1436</t>
  </si>
  <si>
    <t>경기도 파주시 청석로 300 (다율동, 청석마을 대원효성아파트)</t>
  </si>
  <si>
    <t>2014.1.16</t>
  </si>
  <si>
    <t>양우성</t>
  </si>
  <si>
    <t>정재영</t>
  </si>
  <si>
    <t>yang.woosung@joongang.co.kr, happyjer333@naver.com</t>
  </si>
  <si>
    <t>010-2400-5968</t>
  </si>
  <si>
    <t>010-3777-5479</t>
  </si>
  <si>
    <t>010-6311-5968</t>
  </si>
  <si>
    <t>Test date: 2026.1.12</t>
  </si>
  <si>
    <t>HABIN PARK</t>
  </si>
  <si>
    <t>2026S1438</t>
  </si>
  <si>
    <t>010-5518-4716</t>
  </si>
  <si>
    <t>손하율</t>
  </si>
  <si>
    <t>HAYUL SON</t>
  </si>
  <si>
    <t>2026S1440</t>
  </si>
  <si>
    <t>파주시 와석순환로 61, 708동 302호</t>
  </si>
  <si>
    <t>2013.9.03</t>
  </si>
  <si>
    <t>sonjhcta@naver.com</t>
  </si>
  <si>
    <t>010-9282-2897</t>
  </si>
  <si>
    <t>Test date: 2026.1.19</t>
  </si>
  <si>
    <t>유환휘</t>
  </si>
  <si>
    <t>HWANHWI YU</t>
  </si>
  <si>
    <t>Brighton</t>
  </si>
  <si>
    <t>2026F1460</t>
  </si>
  <si>
    <t>10213</t>
  </si>
  <si>
    <t>경기도 고양시 일산서구 법곳동 1711-2, 202호</t>
  </si>
  <si>
    <t>2013.9.12</t>
  </si>
  <si>
    <t>유용상</t>
  </si>
  <si>
    <t>황순환</t>
  </si>
  <si>
    <t>gofunk2@naver.com, sooonani@naver.com</t>
  </si>
  <si>
    <t>010-2990-5526</t>
  </si>
  <si>
    <t>010-3893-3601</t>
  </si>
  <si>
    <t>Test date: 2026.07.10</t>
  </si>
  <si>
    <t>김이건</t>
  </si>
  <si>
    <t>YIGEON KIM</t>
  </si>
  <si>
    <t>Yigeon</t>
  </si>
  <si>
    <t>2022F0603</t>
  </si>
  <si>
    <t>일산서구 덕이로 1535(하이파크시티 일산파밀리에 4단지) 412동 502호</t>
  </si>
  <si>
    <t>2014.08.22</t>
  </si>
  <si>
    <t>김정식</t>
  </si>
  <si>
    <t>이지현</t>
  </si>
  <si>
    <t>ele94@hanmail.net , ejiroom@naver.com</t>
  </si>
  <si>
    <t>010-7334-5167</t>
  </si>
  <si>
    <t>010-6394-4015</t>
  </si>
  <si>
    <t>010-9949-4015</t>
  </si>
  <si>
    <t>Test date: 2022.05.04</t>
  </si>
  <si>
    <t>2013.03.20</t>
  </si>
  <si>
    <t>Jae Lee</t>
  </si>
  <si>
    <t>이재이</t>
  </si>
  <si>
    <t>JERI LEE</t>
  </si>
  <si>
    <t xml:space="preserve"> Jerry</t>
  </si>
  <si>
    <t>2020S0101</t>
  </si>
  <si>
    <t>경기도 파주시 미래로 422 한빛마을1단지한라비발디센트럴파크, 106동 102호</t>
  </si>
  <si>
    <t>2013.04.30</t>
  </si>
  <si>
    <t>이준호</t>
  </si>
  <si>
    <t>박숙영</t>
  </si>
  <si>
    <t>freejuno25@naver.com, dudrn4812@naver.com</t>
  </si>
  <si>
    <t>010-8181-0615</t>
  </si>
  <si>
    <t>010-4855-0615</t>
  </si>
  <si>
    <t>010-8373-3034</t>
  </si>
  <si>
    <t>Test date : 2020.01.22</t>
  </si>
  <si>
    <t>2023.6.16</t>
  </si>
  <si>
    <t>유하준(A)</t>
  </si>
  <si>
    <t>HAJOON YOO</t>
  </si>
  <si>
    <t>Hajoon</t>
  </si>
  <si>
    <t>2022S0301</t>
  </si>
  <si>
    <t>10872</t>
  </si>
  <si>
    <t>경기도 파주시 교하로 70, 산내마을 3단지 313동 702호</t>
  </si>
  <si>
    <t>2012.12.22</t>
  </si>
  <si>
    <t>유찬호</t>
  </si>
  <si>
    <t>이정심</t>
  </si>
  <si>
    <t>peteryoo@liskorea.org, ljs0081@naver.com</t>
  </si>
  <si>
    <t>010-3211-7426</t>
  </si>
  <si>
    <t>010-8261-6965</t>
  </si>
  <si>
    <t>010-7643-7426</t>
  </si>
  <si>
    <t>EDEN KIM</t>
  </si>
  <si>
    <t>2023F1312</t>
  </si>
  <si>
    <t>10887</t>
  </si>
  <si>
    <t>경기도 파주시 초롱꽃로 80 405동 1602호</t>
  </si>
  <si>
    <t>2012.06.26</t>
  </si>
  <si>
    <t>김승훈</t>
  </si>
  <si>
    <t>강선자</t>
  </si>
  <si>
    <t>eden8981@naver.com, beisle79@naver.com</t>
  </si>
  <si>
    <t>010-2452-8981</t>
  </si>
  <si>
    <t>010-3725-2746</t>
  </si>
  <si>
    <t>010-4847-8981</t>
  </si>
  <si>
    <t>2023.08.17</t>
  </si>
  <si>
    <t>Test date : 2023.08.17</t>
  </si>
  <si>
    <t>Test date: 2020.08.19</t>
  </si>
  <si>
    <t>송라임</t>
  </si>
  <si>
    <t>LA-IM SONG</t>
  </si>
  <si>
    <t>Laim</t>
  </si>
  <si>
    <t>2024F1348</t>
  </si>
  <si>
    <t>10394</t>
  </si>
  <si>
    <t>고양시 일산동구 월드고양로21, 킨텍스원시티 3블럭 304동 3401호</t>
  </si>
  <si>
    <t>2013.05.10</t>
  </si>
  <si>
    <t>송기락</t>
  </si>
  <si>
    <t>윤소희</t>
  </si>
  <si>
    <t>songgirak@gmail.com, yysshh115@gmail.com</t>
  </si>
  <si>
    <t>010-4373-1388</t>
  </si>
  <si>
    <t>010-4227-7381</t>
  </si>
  <si>
    <t>010-4244-7381</t>
  </si>
  <si>
    <t>Test date : 2024.06.07</t>
  </si>
  <si>
    <t>LUIS.H. YANG</t>
  </si>
  <si>
    <t>Luis</t>
  </si>
  <si>
    <t>2024F1365</t>
  </si>
  <si>
    <t>2012.09.24</t>
  </si>
  <si>
    <r>
      <rPr>
        <u/>
        <sz val="9"/>
        <color rgb="FF1155CC"/>
        <rFont val="Arial"/>
        <family val="2"/>
      </rPr>
      <t>callme.mr</t>
    </r>
    <r>
      <rPr>
        <sz val="9"/>
        <color theme="1"/>
        <rFont val="Arial"/>
        <family val="2"/>
      </rPr>
      <t>.mo@gmail.com, misunjennyan@gmail.com</t>
    </r>
  </si>
  <si>
    <t>010-4773-0924</t>
  </si>
  <si>
    <t>SEOKHYEON YOON</t>
  </si>
  <si>
    <t>2024S1334</t>
  </si>
  <si>
    <t>2012.05.24</t>
  </si>
  <si>
    <t>010-5809-4767</t>
  </si>
  <si>
    <t>Test date :2024.01.05</t>
  </si>
  <si>
    <t>신하준</t>
  </si>
  <si>
    <t>HAJUN SHIN</t>
  </si>
  <si>
    <t>Matthew</t>
  </si>
  <si>
    <t>2025F1417</t>
  </si>
  <si>
    <t>10099</t>
  </si>
  <si>
    <t>경기도 김포시 걸포 1로 39 307동 302호</t>
  </si>
  <si>
    <t>2012.10.15</t>
  </si>
  <si>
    <t>신환종</t>
  </si>
  <si>
    <t>이유안</t>
  </si>
  <si>
    <t>shj3627@naver.com, junimam10@naver.com</t>
  </si>
  <si>
    <t>010-3627-1106</t>
  </si>
  <si>
    <t>010-5253-7227</t>
  </si>
  <si>
    <t>010-9124-7227</t>
  </si>
  <si>
    <t>Test date: 2025.8.12</t>
  </si>
  <si>
    <t>송상윤</t>
  </si>
  <si>
    <t>SANGYUN SONG</t>
  </si>
  <si>
    <t>Sangyun</t>
  </si>
  <si>
    <t>2025F1406</t>
  </si>
  <si>
    <t>07599</t>
  </si>
  <si>
    <t>경기도 파주시 청석로 140 운정중앙역하우스디 1004동 1403호</t>
  </si>
  <si>
    <t>2012.1.2</t>
  </si>
  <si>
    <t>송재호</t>
  </si>
  <si>
    <t>권영경</t>
  </si>
  <si>
    <t>gamemedia@gmail.com, yk4476@naver.com</t>
  </si>
  <si>
    <t>010-8704-7944</t>
  </si>
  <si>
    <t>010-2262-4476</t>
  </si>
  <si>
    <t>010-8429-7684</t>
  </si>
  <si>
    <t>Test date: 2025.7.17</t>
  </si>
  <si>
    <t>정라온</t>
  </si>
  <si>
    <t>RAON JEONG</t>
  </si>
  <si>
    <t>Raon</t>
  </si>
  <si>
    <t>2026S1432</t>
  </si>
  <si>
    <t>10813</t>
  </si>
  <si>
    <t>경기도 파주시 문산읍 우계로 457번길 29, 105-302</t>
  </si>
  <si>
    <t>2012.12.13</t>
  </si>
  <si>
    <t>정경훈</t>
  </si>
  <si>
    <t>박현혜</t>
  </si>
  <si>
    <t>jean365phh@naver.com</t>
  </si>
  <si>
    <t>010-7515-5831</t>
  </si>
  <si>
    <t>010-9038-1539</t>
  </si>
  <si>
    <t>010-7529-5831</t>
  </si>
  <si>
    <t>Test date: 2025.12.19</t>
  </si>
  <si>
    <t>YEJU HAN</t>
  </si>
  <si>
    <t>2026S1445</t>
  </si>
  <si>
    <t>2012.01.09</t>
  </si>
  <si>
    <t>010-7339-2656</t>
  </si>
  <si>
    <t>HEE HWANG</t>
  </si>
  <si>
    <t>Hee</t>
  </si>
  <si>
    <t>2026F1464</t>
  </si>
  <si>
    <t xml:space="preserve"> 10324</t>
  </si>
  <si>
    <t>위시티 3로111(일산자이더헤리티지) 204동 2205호</t>
  </si>
  <si>
    <t>2012.12.11</t>
  </si>
  <si>
    <t>황정훈</t>
  </si>
  <si>
    <t>김수미</t>
  </si>
  <si>
    <t>law085821@gmail.com, soonjong8025@gmail.com</t>
  </si>
  <si>
    <t>010-3296-0858</t>
  </si>
  <si>
    <t>010-7524-8694</t>
  </si>
  <si>
    <t>010-3859-0858</t>
  </si>
  <si>
    <t>Test date: 2025.02.06</t>
  </si>
  <si>
    <t>HAJIN KIM</t>
  </si>
  <si>
    <t>Hajin</t>
  </si>
  <si>
    <t>2026F1467</t>
  </si>
  <si>
    <t>07688</t>
  </si>
  <si>
    <t>서울시 강서구 화곡로 53길 75 우장산청솔 아파트 402호</t>
  </si>
  <si>
    <t>2012.07.20</t>
  </si>
  <si>
    <t>김진웅</t>
  </si>
  <si>
    <t>peacemaker55@naver.com, jyelisakim@gmail.com</t>
  </si>
  <si>
    <t>010-9125-1874</t>
  </si>
  <si>
    <t>010-9508-5082</t>
  </si>
  <si>
    <t>010-5184-0757</t>
  </si>
  <si>
    <t>2026.8.31</t>
  </si>
  <si>
    <t>Test date : 2026.08.25</t>
  </si>
  <si>
    <t>심봉섭</t>
  </si>
  <si>
    <t>박은정</t>
  </si>
  <si>
    <t>ambitop71@naver.com, jimin51789@naver.com</t>
  </si>
  <si>
    <t>010-2290-3503</t>
  </si>
  <si>
    <t>010-2429-3125</t>
  </si>
  <si>
    <t>2021.04.07</t>
  </si>
  <si>
    <t>Test date: 2020.03.04</t>
  </si>
  <si>
    <t>HAON PARK</t>
  </si>
  <si>
    <t>2026S1437</t>
  </si>
  <si>
    <t>2012.09.11</t>
  </si>
  <si>
    <t>010-5514-3016</t>
  </si>
  <si>
    <t>SION OH</t>
  </si>
  <si>
    <t>2022F0702</t>
  </si>
  <si>
    <t>010-8447-0992</t>
  </si>
  <si>
    <t>Michelle Lee</t>
  </si>
  <si>
    <t>ONYOO HAN</t>
  </si>
  <si>
    <t>On Yoo</t>
  </si>
  <si>
    <t>2019S0104</t>
  </si>
  <si>
    <t>2012.06.22</t>
  </si>
  <si>
    <t>010-5153-1889</t>
  </si>
  <si>
    <t>010-9977-1889</t>
  </si>
  <si>
    <t>2019.03.04</t>
  </si>
  <si>
    <t>이희엘</t>
  </si>
  <si>
    <t>HEEEL LEE</t>
  </si>
  <si>
    <t>Heeel</t>
  </si>
  <si>
    <t>2021S0302</t>
  </si>
  <si>
    <t>10403</t>
  </si>
  <si>
    <t>경기도 고양시 일산동구 백마로 223 현대에뜨레보 1417호</t>
  </si>
  <si>
    <t>2011.12.08</t>
  </si>
  <si>
    <t>이성만</t>
  </si>
  <si>
    <t>윤소연</t>
  </si>
  <si>
    <t>tylor72@naver.com, sm@tediw.co.kr, Smyoon0419@gmail.com</t>
  </si>
  <si>
    <t>010-9114-9518</t>
  </si>
  <si>
    <t>010-8886-9518</t>
  </si>
  <si>
    <t>010-4102-9518</t>
  </si>
  <si>
    <t>2021.05.10</t>
  </si>
  <si>
    <t>Test date: 2021.04.28</t>
  </si>
  <si>
    <t>김형서</t>
  </si>
  <si>
    <t>HYUNG SEO KIM</t>
  </si>
  <si>
    <t>2022F0612</t>
  </si>
  <si>
    <t>10230</t>
  </si>
  <si>
    <t>경기도 고양시 일산서구 하이파크2로 59번길 7, 하이파크 3단지 304동 403호</t>
  </si>
  <si>
    <t>2011.07.15</t>
  </si>
  <si>
    <t>김경섭</t>
  </si>
  <si>
    <t>임연정</t>
  </si>
  <si>
    <t xml:space="preserve"> healthyman94@gmail.com</t>
  </si>
  <si>
    <t>010-6844-0369</t>
  </si>
  <si>
    <t>010-3414-6136</t>
  </si>
  <si>
    <t>010-2857-2550</t>
  </si>
  <si>
    <t>Test date: 2022.06.28</t>
  </si>
  <si>
    <t>SEOLRIN KIM</t>
  </si>
  <si>
    <t>SeolRin</t>
  </si>
  <si>
    <t>2018F0104</t>
  </si>
  <si>
    <t>경기도 파주시 청석로300 대원효성아파트 923동 403호</t>
  </si>
  <si>
    <t>2012.01.14</t>
  </si>
  <si>
    <t>김성민</t>
  </si>
  <si>
    <t>이은주</t>
  </si>
  <si>
    <t>jarule37@naver.com</t>
  </si>
  <si>
    <t>010-4034-0891</t>
  </si>
  <si>
    <t>010-4035-0891</t>
  </si>
  <si>
    <t>010-2477-0891</t>
  </si>
  <si>
    <t>2018.08.28(test)</t>
  </si>
  <si>
    <t>HAEUN KOO</t>
  </si>
  <si>
    <t>Haeun</t>
  </si>
  <si>
    <t>2024S1342</t>
  </si>
  <si>
    <t>경기 김포시 풍무로 35 당곡현대@208동 1204호</t>
  </si>
  <si>
    <t>2011.04.28</t>
  </si>
  <si>
    <t>010-4779-2411</t>
  </si>
  <si>
    <t>2024.02.29</t>
  </si>
  <si>
    <t>Test date : 2024.02.29</t>
  </si>
  <si>
    <t>김경천</t>
  </si>
  <si>
    <t>KYUNGCHUN KIM</t>
  </si>
  <si>
    <t>Kyungchun</t>
  </si>
  <si>
    <t>2024S1316</t>
  </si>
  <si>
    <t>인천서구 검단로 744번3길,8 삼부해피하임 506동 302호</t>
  </si>
  <si>
    <t>2011.11.22</t>
  </si>
  <si>
    <t>김동선</t>
  </si>
  <si>
    <t>박미진</t>
  </si>
  <si>
    <t>amaranth6th@naver.com, meejpark@naver.com</t>
  </si>
  <si>
    <t>010-3993-5452</t>
  </si>
  <si>
    <t>010-4603-5912</t>
  </si>
  <si>
    <t>010-4642-5912</t>
  </si>
  <si>
    <t>HAJUN RYU</t>
  </si>
  <si>
    <t>Hajun</t>
  </si>
  <si>
    <t>2024S1320</t>
  </si>
  <si>
    <t>2011.04.05</t>
  </si>
  <si>
    <t>010-5057-6088</t>
  </si>
  <si>
    <t>TAEWON TAK</t>
  </si>
  <si>
    <t>Taewon</t>
  </si>
  <si>
    <t>2024F1370</t>
  </si>
  <si>
    <t>10087</t>
  </si>
  <si>
    <t>경기도 김포시 김포한강 1로 10 초당마을 우미린 206동 1603호</t>
  </si>
  <si>
    <t>2011.01.07</t>
  </si>
  <si>
    <t>탁문수</t>
  </si>
  <si>
    <t>김훈진</t>
  </si>
  <si>
    <t>mstak87@daidohc.com, hoonjinkim71@naver.com, hoonjinkim71@daidohc.com</t>
  </si>
  <si>
    <t>010-9650-7738</t>
  </si>
  <si>
    <t>010-9141-5115</t>
  </si>
  <si>
    <t>010-7616-5106</t>
  </si>
  <si>
    <t>Test date: 2024.08.19</t>
  </si>
  <si>
    <t>최윤권</t>
  </si>
  <si>
    <t>YOONKWON CHOI</t>
  </si>
  <si>
    <t>Yoon Kwon</t>
  </si>
  <si>
    <t>2024F1362</t>
  </si>
  <si>
    <t>경기도 파주시 가람로 70, 401동 1601호</t>
  </si>
  <si>
    <t>2011.01.18</t>
  </si>
  <si>
    <t>최현수</t>
  </si>
  <si>
    <t>장지윤</t>
  </si>
  <si>
    <t>iamchoihs@gmail.com, jjan2252@gmail.com</t>
  </si>
  <si>
    <t>010-2594-4653</t>
  </si>
  <si>
    <t>010-6244-2252</t>
  </si>
  <si>
    <t xml:space="preserve">010-4838-0234 </t>
  </si>
  <si>
    <t>Test date: 2024.08.06</t>
  </si>
  <si>
    <t>김민준</t>
  </si>
  <si>
    <t>MINJUN KIM</t>
  </si>
  <si>
    <t>Minjun</t>
  </si>
  <si>
    <t>2025S1384</t>
  </si>
  <si>
    <t>경기도 파주시 해솔로 85 두산위브 APT 104동 1402호</t>
  </si>
  <si>
    <t>2012.03.07</t>
  </si>
  <si>
    <t>김상호</t>
  </si>
  <si>
    <t>홍혜전</t>
  </si>
  <si>
    <t>eric2060@naver.com, meg307@naver.com</t>
  </si>
  <si>
    <t>010-5267-0578</t>
  </si>
  <si>
    <t>010-7120-0368</t>
  </si>
  <si>
    <t>010-3535-0368</t>
  </si>
  <si>
    <t>Test date: 2024.12.24</t>
  </si>
  <si>
    <t>송유빈</t>
  </si>
  <si>
    <t>YUVIN SONG</t>
  </si>
  <si>
    <t>Yuvin</t>
  </si>
  <si>
    <t>2025F1401</t>
  </si>
  <si>
    <t>경기도 파주시 책향기로 448 (진흥효자아파트) 1204동 601호</t>
  </si>
  <si>
    <t>2011.1.28</t>
  </si>
  <si>
    <t>송영환</t>
  </si>
  <si>
    <t>나경화</t>
  </si>
  <si>
    <t>younghan.song@gmail.com, yellowart4710@gmail.com</t>
  </si>
  <si>
    <t>010-8825-8599</t>
  </si>
  <si>
    <t>010-9080-4710</t>
  </si>
  <si>
    <t>010-5639-8599</t>
  </si>
  <si>
    <t>Test date: 2025.6.12</t>
  </si>
  <si>
    <t>YUNA KIM</t>
  </si>
  <si>
    <t>yuna</t>
  </si>
  <si>
    <t>2026F1455</t>
  </si>
  <si>
    <t>경기도 고양시 일산서구 하이파크 3로 111, 203-803</t>
  </si>
  <si>
    <t>2012.3.15</t>
  </si>
  <si>
    <t>김성욱</t>
  </si>
  <si>
    <t>박소희</t>
  </si>
  <si>
    <t>pdsean@gmail.com, vompark@gmail.com</t>
  </si>
  <si>
    <t>010-9300-2584</t>
  </si>
  <si>
    <t>010-6349-1375</t>
  </si>
  <si>
    <t>010-8110-1375</t>
  </si>
  <si>
    <t>Test date: 2026.06.09</t>
  </si>
  <si>
    <t>RIWON KIM</t>
  </si>
  <si>
    <t>Brian</t>
  </si>
  <si>
    <t>2026F1457</t>
  </si>
  <si>
    <t>10082</t>
  </si>
  <si>
    <t>경기도 김포시 김포한강 2로 292, 현대 성우 오스타 401동 202호</t>
  </si>
  <si>
    <t>2011.5.31</t>
  </si>
  <si>
    <t>김도일</t>
  </si>
  <si>
    <t>최희조</t>
  </si>
  <si>
    <t>dikim386@naver.com, naya4535@naver.com</t>
  </si>
  <si>
    <t>010-3059-0219</t>
  </si>
  <si>
    <t>010-8892-6575</t>
  </si>
  <si>
    <t>010-9938-6575</t>
  </si>
  <si>
    <t>Test date: 2026.06.12</t>
  </si>
  <si>
    <t>이지민</t>
  </si>
  <si>
    <t>JIMIN LEE</t>
  </si>
  <si>
    <t>2026S1430</t>
  </si>
  <si>
    <t>경기도 파주시 심학산로 384, 120동 602호</t>
  </si>
  <si>
    <t>2011.8.2</t>
  </si>
  <si>
    <t>이원근</t>
  </si>
  <si>
    <t>최선정</t>
  </si>
  <si>
    <t>potico@hanmail.net, chsj77@gmail.com</t>
  </si>
  <si>
    <t>010-3907-7605</t>
  </si>
  <si>
    <t>010-9290-1210</t>
  </si>
  <si>
    <t>010-7616-7605</t>
  </si>
  <si>
    <t>임하람</t>
  </si>
  <si>
    <t>JOSEPH H. IM</t>
  </si>
  <si>
    <t>2025F1404</t>
  </si>
  <si>
    <t>10423</t>
  </si>
  <si>
    <t>경기도 고양시 일산동구 노루목로 80 호수마을 314동 1202호</t>
  </si>
  <si>
    <t>2011.10.6</t>
  </si>
  <si>
    <t>임승혁</t>
  </si>
  <si>
    <t>이현숙</t>
  </si>
  <si>
    <t>shim@e-chon.co.kr, shinelee856@gmail.com</t>
  </si>
  <si>
    <t>010-8890-0450</t>
  </si>
  <si>
    <t>010-4523-0450</t>
  </si>
  <si>
    <t>010-7155-0450</t>
  </si>
  <si>
    <t>Test date: 2025.7.10</t>
  </si>
  <si>
    <t>Christine Park</t>
  </si>
  <si>
    <t>HAYONG KWAK</t>
  </si>
  <si>
    <t xml:space="preserve">Hayong </t>
  </si>
  <si>
    <t>2021S0401</t>
  </si>
  <si>
    <t>파주시 와동동 가람로 22 가람마을 1단지 벽산한라 아파트 110-603 (10895)</t>
  </si>
  <si>
    <t>danielkwak76@gmail.com, kwak3abraham11@gmail.com</t>
  </si>
  <si>
    <t>010-5043-5715</t>
  </si>
  <si>
    <t>Test date: 2020.01.15</t>
  </si>
  <si>
    <t>Test date: 2020.11.20</t>
  </si>
  <si>
    <t>오유민</t>
  </si>
  <si>
    <t>YUMIN OH</t>
  </si>
  <si>
    <t>2021F0501</t>
  </si>
  <si>
    <t>경기도 파주시 한빛로 11 (야당동, 한빛마을3단지 자유로아이파크), 312동 303호</t>
  </si>
  <si>
    <t>2010.10.01</t>
  </si>
  <si>
    <t>오호종</t>
  </si>
  <si>
    <t>방소현</t>
  </si>
  <si>
    <t>amyshb326@gmail.com</t>
  </si>
  <si>
    <t>010-6312-0019</t>
  </si>
  <si>
    <t>010-7740-9178</t>
  </si>
  <si>
    <t>010-4892-0019</t>
  </si>
  <si>
    <t>Test date: 2021.05.18</t>
  </si>
  <si>
    <t>김형주</t>
  </si>
  <si>
    <t>HYEONGJU KIM</t>
  </si>
  <si>
    <t>Jayden</t>
  </si>
  <si>
    <t>2022F0807</t>
  </si>
  <si>
    <t>10113</t>
  </si>
  <si>
    <t>경기도 김포시 유현로 200 (풍무 푸르지오) 101-2802</t>
  </si>
  <si>
    <t>2011.03.25</t>
  </si>
  <si>
    <t>김덕영</t>
  </si>
  <si>
    <t>김세연</t>
  </si>
  <si>
    <t>1023kkim@gmail.com , milk382525@gmail.com</t>
  </si>
  <si>
    <t>010-9005-2000</t>
  </si>
  <si>
    <t>010-8632-3000</t>
  </si>
  <si>
    <t>010-7696-6373</t>
  </si>
  <si>
    <t>2024.03.05</t>
  </si>
  <si>
    <t>Test date: 2022.08.18</t>
  </si>
  <si>
    <t>오예주</t>
  </si>
  <si>
    <t>YEJU OH</t>
  </si>
  <si>
    <t xml:space="preserve">Ye Ju </t>
  </si>
  <si>
    <t>2018S0102</t>
  </si>
  <si>
    <t>경기도 파주시 경의로 987-23  야당동 화인하우스 101동 402호 (10904)</t>
  </si>
  <si>
    <t>2011.05.17</t>
  </si>
  <si>
    <t>오승현</t>
  </si>
  <si>
    <t>장윤미</t>
  </si>
  <si>
    <t>jjangym@empal.com</t>
  </si>
  <si>
    <t>010-8730-1081</t>
  </si>
  <si>
    <t>010-2265-9071</t>
  </si>
  <si>
    <t>010-7636-9071</t>
  </si>
  <si>
    <t>2018.01.02(test)</t>
  </si>
  <si>
    <t>HYEIN SUNG</t>
  </si>
  <si>
    <t>Helena</t>
  </si>
  <si>
    <t>2024F1355</t>
  </si>
  <si>
    <t>2011.05.04</t>
  </si>
  <si>
    <t>010-5218-1900</t>
  </si>
  <si>
    <t>임하윤</t>
  </si>
  <si>
    <t>HAYOON LIM</t>
  </si>
  <si>
    <t>2021S0404</t>
  </si>
  <si>
    <t xml:space="preserve">        경기도 파주시 심학산로 384 (동패동, 운정신도시 IPARK), 104동 1904호</t>
  </si>
  <si>
    <t>2011.03.03</t>
  </si>
  <si>
    <t>임정근</t>
  </si>
  <si>
    <t>표귀선</t>
  </si>
  <si>
    <t>leesang03@gmail.com, ppyo1023@naver.com</t>
  </si>
  <si>
    <t>010-9336-9721</t>
  </si>
  <si>
    <t>010-4433-2038</t>
  </si>
  <si>
    <t>010-8560-2038</t>
  </si>
  <si>
    <t>Test date: 2020.02.22</t>
  </si>
  <si>
    <t>심하얼</t>
  </si>
  <si>
    <t>HAEOL SHIM</t>
  </si>
  <si>
    <t>10881</t>
  </si>
  <si>
    <t>2021S0405</t>
  </si>
  <si>
    <t>경기도 파주시 와석순환로515번길 10, 110동303호</t>
  </si>
  <si>
    <t>2010.11.18</t>
  </si>
  <si>
    <t>010-7586-3125</t>
  </si>
  <si>
    <t>EUNA SON</t>
  </si>
  <si>
    <t>Euna</t>
  </si>
  <si>
    <t>2023F1300</t>
  </si>
  <si>
    <t>10861</t>
  </si>
  <si>
    <t>경기도 파주시 탄현면 오색나비길 47</t>
  </si>
  <si>
    <t>손대진</t>
  </si>
  <si>
    <t>박경아</t>
  </si>
  <si>
    <t>panicyo@hanmail.net, agahae@gmail.com</t>
  </si>
  <si>
    <t>010-4467-1895</t>
  </si>
  <si>
    <t>010-2479-4434</t>
  </si>
  <si>
    <t>010-6517-4434</t>
  </si>
  <si>
    <t>Test date:2023.05.18</t>
  </si>
  <si>
    <t>HYORIN KIM</t>
  </si>
  <si>
    <t>HyoRin</t>
  </si>
  <si>
    <t>2018S0101</t>
  </si>
  <si>
    <t>2010.01.14</t>
  </si>
  <si>
    <t>010-9934-0891</t>
  </si>
  <si>
    <t>김하울</t>
  </si>
  <si>
    <t>HAUL KIM</t>
  </si>
  <si>
    <t>2026S1429</t>
  </si>
  <si>
    <t>경기도 김포시 걸포1로 11, 오스타파라곤 106동 701호</t>
  </si>
  <si>
    <t>2010.6.22</t>
  </si>
  <si>
    <t>김호경</t>
  </si>
  <si>
    <t>김하림</t>
  </si>
  <si>
    <t>philip03@hanmail.net, widace@naver.com</t>
  </si>
  <si>
    <t>010-5453-2491</t>
  </si>
  <si>
    <t>010-5038-2491</t>
  </si>
  <si>
    <t>010-4085-2491</t>
  </si>
  <si>
    <t>Test date: 2025.12.12</t>
  </si>
  <si>
    <t>김라윤</t>
  </si>
  <si>
    <t>LAYOON KIM</t>
  </si>
  <si>
    <t>Leena</t>
  </si>
  <si>
    <t>2026S1434</t>
  </si>
  <si>
    <t>10892</t>
  </si>
  <si>
    <t>경기도 파주시 교하로 133번길 5</t>
  </si>
  <si>
    <t>2010.10.9</t>
  </si>
  <si>
    <t>김봉용</t>
  </si>
  <si>
    <t>정소영</t>
  </si>
  <si>
    <t>izglass@naver.com, iizglass@naver.com</t>
  </si>
  <si>
    <t>010-7220-4795</t>
  </si>
  <si>
    <t>010-7175-7978</t>
  </si>
  <si>
    <t>010-2002-4795</t>
  </si>
  <si>
    <t>심하람</t>
  </si>
  <si>
    <t>HARAM SIM</t>
  </si>
  <si>
    <t>Haram</t>
  </si>
  <si>
    <t>2026S1454</t>
  </si>
  <si>
    <t>10228</t>
  </si>
  <si>
    <t>경기도 고양시 일산서구 장자길 118번길 27, 304동 1103호</t>
  </si>
  <si>
    <t>2010.03.04</t>
  </si>
  <si>
    <t>심상원</t>
  </si>
  <si>
    <t>장혜영</t>
  </si>
  <si>
    <t>sseonool@naver.com, youngi79@naver.com</t>
  </si>
  <si>
    <t>010-7263-2460</t>
  </si>
  <si>
    <t>010-9382-9522</t>
  </si>
  <si>
    <t>010-9593-2460</t>
  </si>
  <si>
    <t>2026.04.07</t>
  </si>
  <si>
    <t>Test date: 2026.03.30</t>
  </si>
  <si>
    <t>최원석</t>
  </si>
  <si>
    <t>YUANSHUO CUI</t>
  </si>
  <si>
    <t>2025F1422</t>
  </si>
  <si>
    <t>경기 파주시 동패동 1915-1.   301호</t>
  </si>
  <si>
    <t>2010.06.23</t>
  </si>
  <si>
    <t>최홍범</t>
  </si>
  <si>
    <t>김은화</t>
  </si>
  <si>
    <t>jinyinhua315@gmail.com</t>
  </si>
  <si>
    <t>010-8253-8086</t>
  </si>
  <si>
    <t>010-7553-8086</t>
  </si>
  <si>
    <t>010-5683-8680</t>
  </si>
  <si>
    <t>2025.9.22</t>
  </si>
  <si>
    <t>Test date : 2025.9.115</t>
  </si>
  <si>
    <t>2026F1463</t>
  </si>
  <si>
    <t>02831</t>
  </si>
  <si>
    <t>서울 성북구 성북로 4길 52, 한신한진 A 111-1106</t>
  </si>
  <si>
    <t>2009.4.22</t>
  </si>
  <si>
    <t>이종묵</t>
  </si>
  <si>
    <t>최수연</t>
  </si>
  <si>
    <t>csy6330@sen.go.kr</t>
  </si>
  <si>
    <t>010-4650-8608</t>
  </si>
  <si>
    <t>010-7134-5814</t>
  </si>
  <si>
    <t>010-7548-8608</t>
  </si>
  <si>
    <t>Test date: 2026.07.22</t>
  </si>
  <si>
    <t>JADEN S. LEE</t>
  </si>
  <si>
    <t>2026F1462</t>
  </si>
  <si>
    <t>04159</t>
  </si>
  <si>
    <t>서울시 마포구 토정로 25안길 15</t>
  </si>
  <si>
    <t>2011.4.10</t>
  </si>
  <si>
    <t>이준남</t>
  </si>
  <si>
    <t>고미송</t>
  </si>
  <si>
    <t>leejunnam7@gmail.com</t>
  </si>
  <si>
    <t>010-5565-5660</t>
  </si>
  <si>
    <t>010-5873-5660</t>
  </si>
  <si>
    <t>010-2230-3123</t>
  </si>
  <si>
    <t>Test date: 2026.07.21</t>
  </si>
  <si>
    <t>SOMIN LEE</t>
  </si>
  <si>
    <t>somin</t>
  </si>
  <si>
    <t>2026F1456</t>
  </si>
  <si>
    <t>경기도 파주시 목동동 산내로 123번길 6-12</t>
  </si>
  <si>
    <t>2009.2.18</t>
  </si>
  <si>
    <t>이홍섭</t>
  </si>
  <si>
    <t>김승연</t>
  </si>
  <si>
    <t>retona6906@naver.com, duskim73@naver.com</t>
  </si>
  <si>
    <t>010-7724-2640</t>
  </si>
  <si>
    <t>010-3916-5424</t>
  </si>
  <si>
    <t>010-8272-2640</t>
  </si>
  <si>
    <t>Test date: 2026.06.11</t>
  </si>
  <si>
    <t>JIMIN KUG</t>
  </si>
  <si>
    <t>Roly</t>
  </si>
  <si>
    <t>2026F1466</t>
  </si>
  <si>
    <t>2010.6.11</t>
  </si>
  <si>
    <t>010-7396-9650</t>
  </si>
  <si>
    <t>KYUNGHO KANG</t>
  </si>
  <si>
    <t>Jed</t>
  </si>
  <si>
    <t>2025S1394</t>
  </si>
  <si>
    <t>2010.12.19</t>
  </si>
  <si>
    <t>010-4708-4230</t>
  </si>
  <si>
    <t>David Nah</t>
  </si>
  <si>
    <t>SUN KO</t>
  </si>
  <si>
    <t>Sun</t>
  </si>
  <si>
    <t>2019F0401</t>
  </si>
  <si>
    <t>2010.01.19</t>
  </si>
  <si>
    <t>010-5400-6923</t>
  </si>
  <si>
    <t>INYONG KWAK</t>
  </si>
  <si>
    <t>Inyong</t>
  </si>
  <si>
    <t>2020F0501</t>
  </si>
  <si>
    <t xml:space="preserve">경기도 파주시 가람로 22  벽산 한라아파트 110동 603호 </t>
  </si>
  <si>
    <t>2009.02.12</t>
  </si>
  <si>
    <t>danielkwak76@gmail.com, c53045715@gmail.com</t>
  </si>
  <si>
    <t>010-5304-5715</t>
  </si>
  <si>
    <t>YOUNGHOO KIM</t>
  </si>
  <si>
    <t>Hoo</t>
  </si>
  <si>
    <t>2023F1311</t>
  </si>
  <si>
    <t>2009.10.13</t>
  </si>
  <si>
    <t>010-4716-2746</t>
  </si>
  <si>
    <t>EUNCHAN KIM</t>
  </si>
  <si>
    <t>2024F1367</t>
  </si>
  <si>
    <t>11444</t>
  </si>
  <si>
    <t xml:space="preserve">경기도 고양시 일산동구 탄중로 430 중산마을 10단지 1003동 1101호 </t>
  </si>
  <si>
    <t>2009.10.30</t>
  </si>
  <si>
    <t>김현진</t>
  </si>
  <si>
    <t>신영아</t>
  </si>
  <si>
    <t>hyuny7703@gmail.com,  delpia@daum.net</t>
  </si>
  <si>
    <t>010-5946-9946</t>
  </si>
  <si>
    <t>010-2133-9946</t>
  </si>
  <si>
    <t>Test date: 2024.08.14</t>
  </si>
  <si>
    <t>황하은</t>
  </si>
  <si>
    <t>HAEUN HWANG</t>
  </si>
  <si>
    <t>2025S1392</t>
  </si>
  <si>
    <t>2009.06.27</t>
  </si>
  <si>
    <t>law0858@naver.com, j-sumi80@naver.com</t>
  </si>
  <si>
    <t>010-4647-8694</t>
  </si>
  <si>
    <t>2025.2.10</t>
  </si>
  <si>
    <t>피지윤</t>
  </si>
  <si>
    <t>JIYUN PHY</t>
  </si>
  <si>
    <t>Jiyun</t>
  </si>
  <si>
    <t>2025S1398</t>
  </si>
  <si>
    <t>경기도 고양시 일산서구 가좌 2로 53 가좌마을 3단지아파트, 307-601</t>
  </si>
  <si>
    <t>2010.1.30</t>
  </si>
  <si>
    <t>피영학</t>
  </si>
  <si>
    <t>김은영</t>
  </si>
  <si>
    <t>vldudgkr@naver.com, pj20100130@gmail.com</t>
  </si>
  <si>
    <t>010-4157-1125</t>
  </si>
  <si>
    <t>010-5015-1125</t>
  </si>
  <si>
    <t>010-2479-1501</t>
  </si>
  <si>
    <t>2025.4.17</t>
  </si>
  <si>
    <t>Test date: 2025.04.17</t>
  </si>
  <si>
    <t>DONGHYUN HAN</t>
  </si>
  <si>
    <t>Timothy</t>
  </si>
  <si>
    <t>2026F1461</t>
  </si>
  <si>
    <t>11791</t>
  </si>
  <si>
    <t>경기도 의정부시 용현동 235-23</t>
  </si>
  <si>
    <t>2010.3.2</t>
  </si>
  <si>
    <t>한휘진</t>
  </si>
  <si>
    <t>정재은</t>
  </si>
  <si>
    <t>hh2892@nyu.edu, jhjung1884@gmail.com</t>
  </si>
  <si>
    <t>010-3141-5384</t>
  </si>
  <si>
    <t>010-3132-5384</t>
  </si>
  <si>
    <t>정이안</t>
  </si>
  <si>
    <t>YIAN JEONG</t>
  </si>
  <si>
    <t>Yian</t>
  </si>
  <si>
    <t>2025S1380</t>
  </si>
  <si>
    <t>경기도 파주시 동패로 117, 214동 1501호</t>
  </si>
  <si>
    <t>2009.01.12</t>
  </si>
  <si>
    <t>노은선</t>
  </si>
  <si>
    <t>wnslaekfarl@naver.com</t>
  </si>
  <si>
    <t>010-2955-3207</t>
  </si>
  <si>
    <t>010-9143-3207</t>
  </si>
  <si>
    <t>Test date: 2024.12.05</t>
  </si>
  <si>
    <t>이희원</t>
  </si>
  <si>
    <t xml:space="preserve">Peter Yoo
</t>
  </si>
  <si>
    <t>김현도</t>
  </si>
  <si>
    <t>HYUNDO KIM</t>
  </si>
  <si>
    <t xml:space="preserve">Hyundo </t>
  </si>
  <si>
    <t>2019F0501</t>
  </si>
  <si>
    <t>경기도 고양시 덕양구 솔밭1길 45, 원흥동 642번지 301호</t>
  </si>
  <si>
    <t>2008.09.25</t>
  </si>
  <si>
    <t>010-5515-7397</t>
  </si>
  <si>
    <t>조수민</t>
  </si>
  <si>
    <t>SUMIN CHO</t>
  </si>
  <si>
    <t>2019F0502</t>
  </si>
  <si>
    <t>경기도 파주시 책향기로 209, 1410동 1103호</t>
  </si>
  <si>
    <t>2008.09.27</t>
  </si>
  <si>
    <t>010-4330-1262</t>
  </si>
  <si>
    <t>Test date: 2019.06.21</t>
  </si>
  <si>
    <t>김하늘</t>
  </si>
  <si>
    <t>HANUL KIM</t>
  </si>
  <si>
    <t>2021S0603</t>
  </si>
  <si>
    <t>10535</t>
  </si>
  <si>
    <t>경기도 고양시 덕양구 소원로 252, 1103동 102호</t>
  </si>
  <si>
    <t>2008.09.23</t>
  </si>
  <si>
    <t>김수민</t>
  </si>
  <si>
    <t>이경민</t>
  </si>
  <si>
    <t>shalom42@naver.com</t>
  </si>
  <si>
    <t>010-9075-4581</t>
  </si>
  <si>
    <t>010-9119-8003</t>
  </si>
  <si>
    <t>010-7276-1180</t>
  </si>
  <si>
    <t>김세현</t>
  </si>
  <si>
    <t>SEHYUN KIM</t>
  </si>
  <si>
    <t>2021S0604</t>
  </si>
  <si>
    <t>10533</t>
  </si>
  <si>
    <t>경기도 파주시 초롱꽃로 130 디에트로더퍼스트1304동 1403호</t>
  </si>
  <si>
    <t>2008.12.20</t>
  </si>
  <si>
    <t>김경선</t>
  </si>
  <si>
    <t>조보배</t>
  </si>
  <si>
    <t>pilgrimks@hotmail.com, bobae516@hotmail.com</t>
  </si>
  <si>
    <t>010-6355-6278</t>
  </si>
  <si>
    <t>010-3379-8649</t>
  </si>
  <si>
    <t>010-9847-8649</t>
  </si>
  <si>
    <t>Test date: 2020.12.07</t>
  </si>
  <si>
    <t>SERIN KIM</t>
  </si>
  <si>
    <t>Serin</t>
  </si>
  <si>
    <t>2018S0301</t>
  </si>
  <si>
    <t>2008.05.07</t>
  </si>
  <si>
    <t>010-2577-0891</t>
  </si>
  <si>
    <t>YENA SON</t>
  </si>
  <si>
    <t>2023F1305</t>
  </si>
  <si>
    <t>010-8487-4434</t>
  </si>
  <si>
    <t>Test date : 2023.07.24</t>
  </si>
  <si>
    <t>김민기</t>
  </si>
  <si>
    <t>MINKI KIM</t>
  </si>
  <si>
    <t>Minki</t>
  </si>
  <si>
    <t>2024S1343</t>
  </si>
  <si>
    <t>경기도 고양시 일산서구 고양대로 255번길 45, 킨텍스아이파크 902동 602호</t>
  </si>
  <si>
    <t>2007.05.05</t>
  </si>
  <si>
    <t>김학수</t>
  </si>
  <si>
    <t>harksuh@graphicode.kr, mingiso813@gmail.com</t>
  </si>
  <si>
    <t>010-8730-1286</t>
  </si>
  <si>
    <t>010-3729-5613</t>
  </si>
  <si>
    <t>010-9720-5613</t>
  </si>
  <si>
    <t>Test Date : 2024.02.19</t>
  </si>
  <si>
    <t>윤서영</t>
  </si>
  <si>
    <t>SEOYOUNG YOON</t>
  </si>
  <si>
    <t>2024S1325</t>
  </si>
  <si>
    <t>10214</t>
  </si>
  <si>
    <t>경기 고양시 일산서구 송포로 207, 가좌동 꿈에그린 708동801호</t>
  </si>
  <si>
    <t>2008.11.05</t>
  </si>
  <si>
    <t>Billy Yoon</t>
  </si>
  <si>
    <t>임선혜</t>
  </si>
  <si>
    <t>beanst@naver.com, melung37@naver.com</t>
  </si>
  <si>
    <t>010-8306-9016</t>
  </si>
  <si>
    <t>010-8962-1671</t>
  </si>
  <si>
    <t>010-8763-1671</t>
  </si>
  <si>
    <t>2023.01.18</t>
  </si>
  <si>
    <t>Test date : 2023.12.12</t>
  </si>
  <si>
    <t>이도현</t>
  </si>
  <si>
    <t>DOHYUN LEE</t>
  </si>
  <si>
    <t>2024S1338</t>
  </si>
  <si>
    <t>경기도 김포시 김포한강2로 208 고창마을 KCC스위첸 410동 304호</t>
  </si>
  <si>
    <t>2008.03.10</t>
  </si>
  <si>
    <t>이준표</t>
  </si>
  <si>
    <t>전은숙</t>
  </si>
  <si>
    <t>de_com@naver.com, azio8714@naver.com</t>
  </si>
  <si>
    <t>010-8203-7585</t>
  </si>
  <si>
    <t>010-2227-7585</t>
  </si>
  <si>
    <t>010-3909-2537</t>
  </si>
  <si>
    <t>2024.2.5</t>
  </si>
  <si>
    <t>Test date :2024.02.02</t>
  </si>
  <si>
    <t>SE EUN TAK</t>
  </si>
  <si>
    <t>Renee</t>
  </si>
  <si>
    <t>2024F1369</t>
  </si>
  <si>
    <t>경기도 김포시 김호한강 1로 10 초당마을 우미린 206동 1603호</t>
  </si>
  <si>
    <t>2007.10.15</t>
  </si>
  <si>
    <t>mstak87@daidohc.com, hoonjinkim71@daidohc.com</t>
  </si>
  <si>
    <t>010-4081-5106</t>
  </si>
  <si>
    <t>Test date: 2024.08.16</t>
  </si>
  <si>
    <t>EUNSOL KIM</t>
  </si>
  <si>
    <t>2024F1368</t>
  </si>
  <si>
    <t>2007.10.26</t>
  </si>
  <si>
    <t>010-7686-9946</t>
  </si>
  <si>
    <t>Test date: 2024.07.15</t>
  </si>
  <si>
    <t>천수민</t>
  </si>
  <si>
    <t>KAILYN SUMIN CHEON</t>
  </si>
  <si>
    <t>Kailyn Cheon</t>
  </si>
  <si>
    <t>2025S1399</t>
  </si>
  <si>
    <t>파주시 회동길 301 헤르만하우스 104-105</t>
  </si>
  <si>
    <t>2008.11.22</t>
  </si>
  <si>
    <t>천상현</t>
  </si>
  <si>
    <t>김성경</t>
  </si>
  <si>
    <t>scheon@hongik.ac.kr, goksk71@gmail.com</t>
  </si>
  <si>
    <t>010-4188-0394</t>
  </si>
  <si>
    <t>010-4196-1657</t>
  </si>
  <si>
    <t>010-3191-1657</t>
  </si>
  <si>
    <t>2025.4.18</t>
  </si>
  <si>
    <t>Test date: 2025.4.15</t>
  </si>
  <si>
    <t>김태림</t>
  </si>
  <si>
    <t>TAERIM KIM</t>
  </si>
  <si>
    <t>Terry</t>
  </si>
  <si>
    <t>2025F1412</t>
  </si>
  <si>
    <t>10595</t>
  </si>
  <si>
    <t>경기도 고양시 덕양구 동송로 23-28 306-2606</t>
  </si>
  <si>
    <t>2008.06.23</t>
  </si>
  <si>
    <t>김영일</t>
  </si>
  <si>
    <t>조자영</t>
  </si>
  <si>
    <t>gaogaizer@naver.com, memejc@naver.com</t>
  </si>
  <si>
    <t>010-3173-7066</t>
  </si>
  <si>
    <t>010-3302-4025</t>
  </si>
  <si>
    <t>010-3515-4025</t>
  </si>
  <si>
    <t>Test date: 2025.7.30</t>
  </si>
  <si>
    <t>김민경</t>
  </si>
  <si>
    <t>SOPHIA M. KIM</t>
  </si>
  <si>
    <t>2025F1418</t>
  </si>
  <si>
    <t>일산동구 위시티 4로 80, 자이1단지 109동 2103호</t>
  </si>
  <si>
    <t>2007.12.13</t>
  </si>
  <si>
    <t>김종성</t>
  </si>
  <si>
    <t>조희주</t>
  </si>
  <si>
    <t>envokim72@gmail.com, joo1123kr@gmail.com</t>
  </si>
  <si>
    <t>010-8858-7260</t>
  </si>
  <si>
    <t>010-9334-7260</t>
  </si>
  <si>
    <t>010-4334-7260</t>
  </si>
  <si>
    <t>2025.8.19</t>
  </si>
  <si>
    <t>Test date: 2025.8.14</t>
  </si>
  <si>
    <t>김현서</t>
  </si>
  <si>
    <t>HYUNSEO KIM</t>
  </si>
  <si>
    <t>2024F1356</t>
  </si>
  <si>
    <t>10248</t>
  </si>
  <si>
    <t>경기도 고양시 일산서구 탄현로 136, 110-1105</t>
  </si>
  <si>
    <t>2008.03.25</t>
  </si>
  <si>
    <t>김기율</t>
  </si>
  <si>
    <t>김진옥</t>
  </si>
  <si>
    <t>kmakky@naver.com, jjinok77@hanmail.net</t>
  </si>
  <si>
    <t>010-9232-6456</t>
  </si>
  <si>
    <t>010-3102-6447</t>
  </si>
  <si>
    <t>010-3142-6447</t>
  </si>
  <si>
    <t>YEWON HAN</t>
  </si>
  <si>
    <t>2026S1444</t>
  </si>
  <si>
    <t>2008.01.07</t>
  </si>
  <si>
    <t>010-65587-2656</t>
  </si>
  <si>
    <t>2026.02.23</t>
  </si>
  <si>
    <t>Test date: 2026.02.13</t>
  </si>
  <si>
    <t>YEYUN LEE</t>
  </si>
  <si>
    <t>2025S1387</t>
  </si>
  <si>
    <t>경기도 고양시 일산동구 위시티4로 45 (식사동, 위시티일산자이4단지아파트) 411동 1902호</t>
  </si>
  <si>
    <t>2009.07.11</t>
  </si>
  <si>
    <t>010-5362-3681</t>
  </si>
  <si>
    <t>Test date: 2025.01.15</t>
  </si>
  <si>
    <t>Test date: 2020.07.01</t>
    <phoneticPr fontId="22" type="noConversion"/>
  </si>
  <si>
    <t>Test date: 2020.07.09</t>
    <phoneticPr fontId="22" type="noConversion"/>
  </si>
  <si>
    <t>Test date: 2017.11.29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</si>
</sst>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yy\-mm\-dd"/>
  </numFmts>
  <fonts count="23" x14ac:knownFonts="1">
    <font>
      <sz val="10"/>
      <color rgb="FF000000"/>
      <name val="Calibri"/>
      <scheme val="minor"/>
    </font>
    <font>
      <sz val="10"/>
      <name val="Calibri"/>
      <family val="2"/>
    </font>
    <font>
      <b/>
      <sz val="9"/>
      <color rgb="FFFF000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21"/>
      <color rgb="FFFFFFFF"/>
      <name val="Arial"/>
      <family val="2"/>
    </font>
    <font>
      <b/>
      <sz val="24"/>
      <color rgb="FFFFFFFF"/>
      <name val="Arial"/>
      <family val="2"/>
    </font>
    <font>
      <sz val="10"/>
      <color theme="1"/>
      <name val="Calibri"/>
      <family val="2"/>
    </font>
    <font>
      <b/>
      <sz val="10"/>
      <color rgb="FFFF0000"/>
      <name val="Arial"/>
      <family val="2"/>
    </font>
    <font>
      <b/>
      <sz val="11"/>
      <color theme="1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sz val="11"/>
      <color rgb="FF000000"/>
      <name val="Arial"/>
      <family val="2"/>
    </font>
    <font>
      <b/>
      <i/>
      <sz val="11"/>
      <color theme="1"/>
      <name val="Arial"/>
      <family val="2"/>
    </font>
    <font>
      <sz val="11"/>
      <color rgb="FF000000"/>
      <name val="Arial"/>
      <family val="2"/>
    </font>
    <font>
      <sz val="9"/>
      <color rgb="FFFF0000"/>
      <name val="Arial"/>
      <family val="2"/>
    </font>
    <font>
      <sz val="10"/>
      <color theme="1"/>
      <name val="Calibri"/>
      <family val="2"/>
      <scheme val="minor"/>
    </font>
    <font>
      <b/>
      <i/>
      <sz val="11"/>
      <color rgb="FF000000"/>
      <name val="Arial"/>
      <family val="2"/>
    </font>
    <font>
      <u/>
      <sz val="9"/>
      <color theme="1"/>
      <name val="Arial"/>
      <family val="2"/>
    </font>
    <font>
      <u/>
      <sz val="9"/>
      <color rgb="FF1155CC"/>
      <name val="Arial"/>
      <family val="2"/>
    </font>
    <font>
      <sz val="8"/>
      <name val="Calibri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980000"/>
        <bgColor rgb="FF980000"/>
      </patternFill>
    </fill>
    <fill>
      <patternFill patternType="solid">
        <fgColor rgb="FFFFFF00"/>
        <bgColor rgb="FFFFFF00"/>
      </patternFill>
    </fill>
    <fill>
      <patternFill patternType="solid">
        <fgColor rgb="FFB7E1CD"/>
        <bgColor rgb="FFB7E1CD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right"/>
    </xf>
    <xf numFmtId="176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5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49" fontId="8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 wrapText="1"/>
    </xf>
    <xf numFmtId="0" fontId="5" fillId="2" borderId="1" xfId="0" quotePrefix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1" fillId="0" borderId="6" xfId="0" applyFont="1" applyBorder="1"/>
    <xf numFmtId="0" fontId="1" fillId="0" borderId="7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11" xfId="0" applyFont="1" applyBorder="1"/>
    <xf numFmtId="0" fontId="1" fillId="0" borderId="13" xfId="0" applyFont="1" applyBorder="1"/>
    <xf numFmtId="0" fontId="1" fillId="0" borderId="4" xfId="0" applyFont="1" applyBorder="1"/>
    <xf numFmtId="49" fontId="4" fillId="3" borderId="8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0" fillId="0" borderId="0" xfId="0"/>
    <xf numFmtId="0" fontId="4" fillId="3" borderId="8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 wrapText="1"/>
    </xf>
    <xf numFmtId="0" fontId="1" fillId="0" borderId="9" xfId="0" applyFont="1" applyBorder="1"/>
    <xf numFmtId="0" fontId="15" fillId="0" borderId="8" xfId="0" applyFont="1" applyBorder="1" applyAlignment="1">
      <alignment horizontal="center" vertical="center" wrapText="1"/>
    </xf>
    <xf numFmtId="0" fontId="1" fillId="0" borderId="14" xfId="0" applyFont="1" applyBorder="1"/>
    <xf numFmtId="0" fontId="19" fillId="2" borderId="8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</cellXfs>
  <cellStyles count="1">
    <cellStyle name="표준" xfId="0" builtinId="0"/>
  </cellStyles>
  <dxfs count="7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</dxfs>
  <tableStyles count="2">
    <tableStyle name="Statistics (통계)-style" pivot="0" count="3" xr9:uid="{00000000-0011-0000-FFFF-FFFF00000000}">
      <tableStyleElement type="headerRow" dxfId="6"/>
      <tableStyleElement type="firstRowStripe" dxfId="5"/>
      <tableStyleElement type="secondRowStripe" dxfId="4"/>
    </tableStyle>
    <tableStyle name="Statistics (통계)-style 2" pivot="0" count="3" xr9:uid="{00000000-0011-0000-FFFF-FFFF01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://callme.mr/" TargetMode="External"/><Relationship Id="rId1" Type="http://schemas.openxmlformats.org/officeDocument/2006/relationships/hyperlink" Target="http://callme.mr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80000"/>
    <outlinePr summaryBelow="0" summaryRight="0"/>
    <pageSetUpPr fitToPage="1"/>
  </sheetPr>
  <dimension ref="A1:AR732"/>
  <sheetViews>
    <sheetView tabSelected="1" workbookViewId="0">
      <pane xSplit="4" ySplit="4" topLeftCell="P5" activePane="bottomRight" state="frozen"/>
      <selection pane="topRight" activeCell="F1" sqref="F1"/>
      <selection pane="bottomLeft" activeCell="A5" sqref="A5"/>
      <selection pane="bottomRight" activeCell="S154" sqref="S154"/>
    </sheetView>
  </sheetViews>
  <sheetFormatPr defaultColWidth="14.42578125" defaultRowHeight="15" customHeight="1" x14ac:dyDescent="0.2"/>
  <cols>
    <col min="1" max="1" width="4.5703125" customWidth="1"/>
    <col min="2" max="2" width="12.28515625" customWidth="1"/>
    <col min="3" max="3" width="15" customWidth="1"/>
    <col min="4" max="4" width="17.85546875" customWidth="1"/>
    <col min="5" max="5" width="24.7109375" customWidth="1"/>
    <col min="6" max="6" width="15.7109375" customWidth="1"/>
    <col min="7" max="8" width="12.5703125" customWidth="1"/>
    <col min="9" max="9" width="78.85546875" customWidth="1"/>
    <col min="10" max="10" width="8.28515625" customWidth="1"/>
    <col min="11" max="11" width="9.42578125" customWidth="1"/>
    <col min="12" max="12" width="17.5703125" customWidth="1"/>
    <col min="13" max="13" width="19.28515625" customWidth="1"/>
    <col min="14" max="14" width="23.140625" customWidth="1"/>
    <col min="15" max="15" width="45" customWidth="1"/>
    <col min="16" max="16" width="16" customWidth="1"/>
    <col min="17" max="17" width="16.5703125" customWidth="1"/>
    <col min="18" max="18" width="14.28515625" customWidth="1"/>
    <col min="19" max="19" width="14.140625" customWidth="1"/>
    <col min="20" max="21" width="13.42578125" customWidth="1"/>
    <col min="22" max="44" width="18.42578125" customWidth="1"/>
  </cols>
  <sheetData>
    <row r="1" spans="1:44" ht="41.25" customHeight="1" x14ac:dyDescent="0.2">
      <c r="A1" s="1"/>
      <c r="B1" s="2"/>
      <c r="C1" s="2"/>
      <c r="D1" s="3"/>
      <c r="E1" s="76" t="s">
        <v>1</v>
      </c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spans="1:44" ht="14.25" x14ac:dyDescent="0.2">
      <c r="A2" s="1"/>
      <c r="B2" s="5"/>
      <c r="C2" s="6">
        <f ca="1">TODAY()</f>
        <v>46317</v>
      </c>
      <c r="D2" s="7" t="s">
        <v>0</v>
      </c>
      <c r="E2" s="8"/>
      <c r="F2" s="9"/>
      <c r="G2" s="9"/>
      <c r="H2" s="10"/>
      <c r="I2" s="9"/>
      <c r="J2" s="9"/>
      <c r="K2" s="9"/>
      <c r="L2" s="9"/>
      <c r="M2" s="9"/>
      <c r="N2" s="9" t="s">
        <v>10</v>
      </c>
      <c r="O2" s="11"/>
      <c r="P2" s="9"/>
      <c r="Q2" s="9"/>
      <c r="R2" s="9"/>
      <c r="S2" s="9"/>
      <c r="T2" s="9"/>
      <c r="U2" s="9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</row>
    <row r="3" spans="1:44" ht="14.25" x14ac:dyDescent="0.2">
      <c r="A3" s="1"/>
      <c r="B3" s="67" t="s">
        <v>5</v>
      </c>
      <c r="C3" s="67" t="s">
        <v>14</v>
      </c>
      <c r="D3" s="67" t="s">
        <v>2</v>
      </c>
      <c r="E3" s="54" t="s">
        <v>15</v>
      </c>
      <c r="F3" s="67" t="s">
        <v>3</v>
      </c>
      <c r="G3" s="54" t="s">
        <v>4</v>
      </c>
      <c r="H3" s="63" t="s">
        <v>16</v>
      </c>
      <c r="I3" s="67" t="s">
        <v>6</v>
      </c>
      <c r="J3" s="67" t="s">
        <v>7</v>
      </c>
      <c r="K3" s="67" t="s">
        <v>5</v>
      </c>
      <c r="L3" s="67" t="s">
        <v>8</v>
      </c>
      <c r="M3" s="67" t="s">
        <v>9</v>
      </c>
      <c r="N3" s="67" t="s">
        <v>11</v>
      </c>
      <c r="O3" s="15"/>
      <c r="P3" s="75" t="s">
        <v>12</v>
      </c>
      <c r="Q3" s="56"/>
      <c r="R3" s="57"/>
      <c r="S3" s="16" t="s">
        <v>13</v>
      </c>
      <c r="T3" s="77" t="s">
        <v>19</v>
      </c>
      <c r="U3" s="60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</row>
    <row r="4" spans="1:44" ht="14.25" x14ac:dyDescent="0.2">
      <c r="A4" s="1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15" t="s">
        <v>20</v>
      </c>
      <c r="P4" s="20" t="s">
        <v>9</v>
      </c>
      <c r="Q4" s="20" t="s">
        <v>11</v>
      </c>
      <c r="R4" s="20" t="s">
        <v>21</v>
      </c>
      <c r="S4" s="20" t="s">
        <v>23</v>
      </c>
      <c r="T4" s="61"/>
      <c r="U4" s="62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</row>
    <row r="5" spans="1:44" ht="21" customHeight="1" x14ac:dyDescent="0.2">
      <c r="A5" s="1"/>
      <c r="B5" s="21" t="s">
        <v>33</v>
      </c>
      <c r="C5" s="22"/>
      <c r="D5" s="23"/>
      <c r="E5" s="13"/>
      <c r="F5" s="13"/>
      <c r="G5" s="13"/>
      <c r="H5" s="14"/>
      <c r="I5" s="17"/>
      <c r="J5" s="13"/>
      <c r="K5" s="13"/>
      <c r="L5" s="13"/>
      <c r="M5" s="13"/>
      <c r="N5" s="13"/>
      <c r="O5" s="13"/>
      <c r="P5" s="13"/>
      <c r="Q5" s="13"/>
      <c r="R5" s="13"/>
      <c r="S5" s="24"/>
      <c r="T5" s="13"/>
      <c r="U5" s="13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</row>
    <row r="6" spans="1:44" ht="21" customHeight="1" x14ac:dyDescent="0.2">
      <c r="A6" s="1">
        <v>1</v>
      </c>
      <c r="B6" s="68" t="str">
        <f>"E1                      ("&amp;COUNTA(D6:D13)&amp;")"</f>
        <v>E1                      (8)</v>
      </c>
      <c r="C6" s="70" t="s">
        <v>40</v>
      </c>
      <c r="D6" s="26" t="s">
        <v>42</v>
      </c>
      <c r="E6" s="27" t="s">
        <v>43</v>
      </c>
      <c r="F6" s="27" t="s">
        <v>44</v>
      </c>
      <c r="G6" s="13" t="s">
        <v>46</v>
      </c>
      <c r="H6" s="14" t="s">
        <v>47</v>
      </c>
      <c r="I6" s="28" t="s">
        <v>48</v>
      </c>
      <c r="J6" s="13" t="s">
        <v>18</v>
      </c>
      <c r="K6" s="13">
        <v>1</v>
      </c>
      <c r="L6" s="13" t="s">
        <v>50</v>
      </c>
      <c r="M6" s="13" t="s">
        <v>51</v>
      </c>
      <c r="N6" s="13" t="s">
        <v>52</v>
      </c>
      <c r="O6" s="13" t="s">
        <v>53</v>
      </c>
      <c r="P6" s="13" t="s">
        <v>54</v>
      </c>
      <c r="Q6" s="13" t="s">
        <v>55</v>
      </c>
      <c r="R6" s="13"/>
      <c r="S6" s="18" t="s">
        <v>56</v>
      </c>
      <c r="T6" s="58" t="s">
        <v>57</v>
      </c>
      <c r="U6" s="56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</row>
    <row r="7" spans="1:44" ht="21" customHeight="1" x14ac:dyDescent="0.2">
      <c r="A7" s="1">
        <v>2</v>
      </c>
      <c r="B7" s="69"/>
      <c r="C7" s="69"/>
      <c r="D7" s="29" t="s">
        <v>60</v>
      </c>
      <c r="E7" s="27" t="s">
        <v>61</v>
      </c>
      <c r="F7" s="27" t="s">
        <v>62</v>
      </c>
      <c r="G7" s="13" t="s">
        <v>64</v>
      </c>
      <c r="H7" s="14" t="s">
        <v>66</v>
      </c>
      <c r="I7" s="17" t="s">
        <v>68</v>
      </c>
      <c r="J7" s="13" t="s">
        <v>25</v>
      </c>
      <c r="K7" s="13">
        <v>1</v>
      </c>
      <c r="L7" s="13" t="s">
        <v>69</v>
      </c>
      <c r="M7" s="13" t="s">
        <v>70</v>
      </c>
      <c r="N7" s="13" t="s">
        <v>71</v>
      </c>
      <c r="O7" s="13" t="s">
        <v>72</v>
      </c>
      <c r="P7" s="13" t="s">
        <v>73</v>
      </c>
      <c r="Q7" s="13" t="s">
        <v>74</v>
      </c>
      <c r="R7" s="13"/>
      <c r="S7" s="18" t="s">
        <v>75</v>
      </c>
      <c r="T7" s="58" t="s">
        <v>76</v>
      </c>
      <c r="U7" s="56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</row>
    <row r="8" spans="1:44" ht="21" customHeight="1" x14ac:dyDescent="0.2">
      <c r="A8" s="1">
        <v>3</v>
      </c>
      <c r="B8" s="69"/>
      <c r="C8" s="69"/>
      <c r="D8" s="29" t="s">
        <v>77</v>
      </c>
      <c r="E8" s="27" t="s">
        <v>78</v>
      </c>
      <c r="F8" s="27" t="s">
        <v>36</v>
      </c>
      <c r="G8" s="13" t="s">
        <v>79</v>
      </c>
      <c r="H8" s="14" t="s">
        <v>80</v>
      </c>
      <c r="I8" s="17" t="s">
        <v>81</v>
      </c>
      <c r="J8" s="13" t="s">
        <v>18</v>
      </c>
      <c r="K8" s="13">
        <v>1</v>
      </c>
      <c r="L8" s="13" t="s">
        <v>82</v>
      </c>
      <c r="M8" s="13" t="s">
        <v>83</v>
      </c>
      <c r="N8" s="13" t="s">
        <v>84</v>
      </c>
      <c r="O8" s="13" t="s">
        <v>85</v>
      </c>
      <c r="P8" s="13" t="s">
        <v>86</v>
      </c>
      <c r="Q8" s="13" t="s">
        <v>87</v>
      </c>
      <c r="R8" s="13"/>
      <c r="S8" s="18" t="s">
        <v>75</v>
      </c>
      <c r="T8" s="58" t="s">
        <v>76</v>
      </c>
      <c r="U8" s="56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</row>
    <row r="9" spans="1:44" ht="21" customHeight="1" x14ac:dyDescent="0.2">
      <c r="A9" s="1">
        <v>4</v>
      </c>
      <c r="B9" s="69"/>
      <c r="C9" s="69"/>
      <c r="D9" s="29" t="s">
        <v>89</v>
      </c>
      <c r="E9" s="27" t="s">
        <v>90</v>
      </c>
      <c r="F9" s="27" t="s">
        <v>91</v>
      </c>
      <c r="G9" s="13" t="s">
        <v>92</v>
      </c>
      <c r="H9" s="14" t="s">
        <v>80</v>
      </c>
      <c r="I9" s="17" t="s">
        <v>93</v>
      </c>
      <c r="J9" s="13" t="s">
        <v>25</v>
      </c>
      <c r="K9" s="13">
        <v>1</v>
      </c>
      <c r="L9" s="13" t="s">
        <v>94</v>
      </c>
      <c r="M9" s="13" t="s">
        <v>95</v>
      </c>
      <c r="N9" s="13" t="s">
        <v>96</v>
      </c>
      <c r="O9" s="13" t="s">
        <v>97</v>
      </c>
      <c r="P9" s="13" t="s">
        <v>99</v>
      </c>
      <c r="Q9" s="13" t="s">
        <v>100</v>
      </c>
      <c r="R9" s="13"/>
      <c r="S9" s="18" t="s">
        <v>75</v>
      </c>
      <c r="T9" s="58" t="s">
        <v>101</v>
      </c>
      <c r="U9" s="56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</row>
    <row r="10" spans="1:44" ht="21" customHeight="1" x14ac:dyDescent="0.2">
      <c r="A10" s="1">
        <v>5</v>
      </c>
      <c r="B10" s="69"/>
      <c r="C10" s="69"/>
      <c r="D10" s="29" t="s">
        <v>102</v>
      </c>
      <c r="E10" s="27" t="s">
        <v>103</v>
      </c>
      <c r="F10" s="27" t="s">
        <v>104</v>
      </c>
      <c r="G10" s="13" t="s">
        <v>105</v>
      </c>
      <c r="H10" s="14" t="s">
        <v>106</v>
      </c>
      <c r="I10" s="17" t="s">
        <v>107</v>
      </c>
      <c r="J10" s="13" t="s">
        <v>25</v>
      </c>
      <c r="K10" s="13">
        <v>1</v>
      </c>
      <c r="L10" s="13" t="s">
        <v>108</v>
      </c>
      <c r="M10" s="13" t="s">
        <v>109</v>
      </c>
      <c r="N10" s="13" t="s">
        <v>110</v>
      </c>
      <c r="O10" s="13" t="s">
        <v>111</v>
      </c>
      <c r="P10" s="13" t="s">
        <v>112</v>
      </c>
      <c r="Q10" s="13" t="s">
        <v>113</v>
      </c>
      <c r="R10" s="13"/>
      <c r="S10" s="18" t="s">
        <v>75</v>
      </c>
      <c r="T10" s="58" t="s">
        <v>114</v>
      </c>
      <c r="U10" s="56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</row>
    <row r="11" spans="1:44" ht="21" customHeight="1" x14ac:dyDescent="0.2">
      <c r="A11" s="1">
        <v>6</v>
      </c>
      <c r="B11" s="69"/>
      <c r="C11" s="69"/>
      <c r="D11" s="26" t="s">
        <v>115</v>
      </c>
      <c r="E11" s="27" t="s">
        <v>116</v>
      </c>
      <c r="F11" s="27" t="s">
        <v>117</v>
      </c>
      <c r="G11" s="13" t="s">
        <v>118</v>
      </c>
      <c r="H11" s="14" t="s">
        <v>119</v>
      </c>
      <c r="I11" s="17" t="s">
        <v>120</v>
      </c>
      <c r="J11" s="13" t="s">
        <v>25</v>
      </c>
      <c r="K11" s="13">
        <v>1</v>
      </c>
      <c r="L11" s="13" t="s">
        <v>122</v>
      </c>
      <c r="M11" s="13" t="s">
        <v>123</v>
      </c>
      <c r="N11" s="13" t="s">
        <v>124</v>
      </c>
      <c r="O11" s="13" t="s">
        <v>125</v>
      </c>
      <c r="P11" s="13" t="s">
        <v>126</v>
      </c>
      <c r="Q11" s="13" t="s">
        <v>127</v>
      </c>
      <c r="R11" s="13"/>
      <c r="S11" s="18" t="s">
        <v>128</v>
      </c>
      <c r="T11" s="58" t="s">
        <v>129</v>
      </c>
      <c r="U11" s="56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</row>
    <row r="12" spans="1:44" ht="21" customHeight="1" x14ac:dyDescent="0.2">
      <c r="A12" s="1">
        <v>7</v>
      </c>
      <c r="B12" s="69"/>
      <c r="C12" s="69"/>
      <c r="D12" s="26" t="s">
        <v>130</v>
      </c>
      <c r="E12" s="26" t="s">
        <v>131</v>
      </c>
      <c r="F12" s="26" t="s">
        <v>132</v>
      </c>
      <c r="G12" s="23" t="s">
        <v>133</v>
      </c>
      <c r="H12" s="30" t="s">
        <v>134</v>
      </c>
      <c r="I12" s="23" t="s">
        <v>135</v>
      </c>
      <c r="J12" s="23" t="s">
        <v>18</v>
      </c>
      <c r="K12" s="23">
        <v>1</v>
      </c>
      <c r="L12" s="23" t="s">
        <v>136</v>
      </c>
      <c r="M12" s="23" t="s">
        <v>137</v>
      </c>
      <c r="N12" s="23" t="s">
        <v>138</v>
      </c>
      <c r="O12" s="23" t="s">
        <v>139</v>
      </c>
      <c r="P12" s="23" t="s">
        <v>140</v>
      </c>
      <c r="Q12" s="23" t="s">
        <v>141</v>
      </c>
      <c r="R12" s="23"/>
      <c r="S12" s="31" t="s">
        <v>142</v>
      </c>
      <c r="T12" s="64" t="s">
        <v>143</v>
      </c>
      <c r="U12" s="56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</row>
    <row r="13" spans="1:44" ht="21" customHeight="1" x14ac:dyDescent="0.2">
      <c r="A13" s="1">
        <v>8</v>
      </c>
      <c r="B13" s="55"/>
      <c r="C13" s="55"/>
      <c r="D13" s="26" t="s">
        <v>144</v>
      </c>
      <c r="E13" s="27" t="s">
        <v>145</v>
      </c>
      <c r="F13" s="27" t="s">
        <v>146</v>
      </c>
      <c r="G13" s="13" t="s">
        <v>147</v>
      </c>
      <c r="H13" s="14" t="s">
        <v>148</v>
      </c>
      <c r="I13" s="17" t="s">
        <v>149</v>
      </c>
      <c r="J13" s="13" t="s">
        <v>25</v>
      </c>
      <c r="K13" s="13">
        <v>1</v>
      </c>
      <c r="L13" s="13" t="s">
        <v>150</v>
      </c>
      <c r="M13" s="13" t="s">
        <v>151</v>
      </c>
      <c r="N13" s="13" t="s">
        <v>152</v>
      </c>
      <c r="O13" s="13" t="s">
        <v>153</v>
      </c>
      <c r="P13" s="13" t="s">
        <v>154</v>
      </c>
      <c r="Q13" s="13" t="s">
        <v>155</v>
      </c>
      <c r="R13" s="13"/>
      <c r="S13" s="18" t="s">
        <v>128</v>
      </c>
      <c r="T13" s="58" t="s">
        <v>156</v>
      </c>
      <c r="U13" s="56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</row>
    <row r="14" spans="1:44" ht="21" customHeight="1" x14ac:dyDescent="0.2">
      <c r="A14" s="1">
        <v>9</v>
      </c>
      <c r="B14" s="68" t="str">
        <f>"E2                      ("&amp;COUNTA(D14:D22)&amp;")"</f>
        <v>E2                      (9)</v>
      </c>
      <c r="C14" s="70" t="s">
        <v>157</v>
      </c>
      <c r="D14" s="26" t="s">
        <v>158</v>
      </c>
      <c r="E14" s="27" t="s">
        <v>159</v>
      </c>
      <c r="F14" s="27" t="s">
        <v>160</v>
      </c>
      <c r="G14" s="13" t="s">
        <v>161</v>
      </c>
      <c r="H14" s="14" t="s">
        <v>162</v>
      </c>
      <c r="I14" s="17" t="s">
        <v>163</v>
      </c>
      <c r="J14" s="13" t="s">
        <v>25</v>
      </c>
      <c r="K14" s="13">
        <v>2</v>
      </c>
      <c r="L14" s="13" t="s">
        <v>164</v>
      </c>
      <c r="M14" s="13" t="s">
        <v>165</v>
      </c>
      <c r="N14" s="13" t="s">
        <v>166</v>
      </c>
      <c r="O14" s="13" t="s">
        <v>167</v>
      </c>
      <c r="P14" s="13" t="s">
        <v>168</v>
      </c>
      <c r="Q14" s="13" t="s">
        <v>169</v>
      </c>
      <c r="R14" s="13"/>
      <c r="S14" s="18" t="s">
        <v>56</v>
      </c>
      <c r="T14" s="58" t="s">
        <v>170</v>
      </c>
      <c r="U14" s="56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</row>
    <row r="15" spans="1:44" ht="21" customHeight="1" x14ac:dyDescent="0.2">
      <c r="A15" s="1">
        <v>10</v>
      </c>
      <c r="B15" s="69"/>
      <c r="C15" s="69"/>
      <c r="D15" s="26" t="s">
        <v>172</v>
      </c>
      <c r="E15" s="27" t="s">
        <v>173</v>
      </c>
      <c r="F15" s="27" t="s">
        <v>174</v>
      </c>
      <c r="G15" s="13" t="s">
        <v>175</v>
      </c>
      <c r="H15" s="14" t="s">
        <v>176</v>
      </c>
      <c r="I15" s="17" t="s">
        <v>177</v>
      </c>
      <c r="J15" s="13" t="s">
        <v>25</v>
      </c>
      <c r="K15" s="13">
        <v>2</v>
      </c>
      <c r="L15" s="13" t="s">
        <v>178</v>
      </c>
      <c r="M15" s="13" t="s">
        <v>179</v>
      </c>
      <c r="N15" s="13" t="s">
        <v>180</v>
      </c>
      <c r="O15" s="13" t="s">
        <v>181</v>
      </c>
      <c r="P15" s="13" t="s">
        <v>182</v>
      </c>
      <c r="Q15" s="13" t="s">
        <v>183</v>
      </c>
      <c r="R15" s="13"/>
      <c r="S15" s="18" t="s">
        <v>56</v>
      </c>
      <c r="T15" s="58" t="s">
        <v>184</v>
      </c>
      <c r="U15" s="56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</row>
    <row r="16" spans="1:44" ht="21" customHeight="1" x14ac:dyDescent="0.2">
      <c r="A16" s="1">
        <v>11</v>
      </c>
      <c r="B16" s="69"/>
      <c r="C16" s="69"/>
      <c r="D16" s="26" t="s">
        <v>188</v>
      </c>
      <c r="E16" s="27" t="s">
        <v>189</v>
      </c>
      <c r="F16" s="27" t="s">
        <v>190</v>
      </c>
      <c r="G16" s="13" t="s">
        <v>191</v>
      </c>
      <c r="H16" s="14" t="s">
        <v>192</v>
      </c>
      <c r="I16" s="17" t="s">
        <v>193</v>
      </c>
      <c r="J16" s="13" t="s">
        <v>18</v>
      </c>
      <c r="K16" s="13">
        <v>2</v>
      </c>
      <c r="L16" s="13" t="s">
        <v>194</v>
      </c>
      <c r="M16" s="13" t="s">
        <v>195</v>
      </c>
      <c r="N16" s="13" t="s">
        <v>196</v>
      </c>
      <c r="O16" s="13" t="s">
        <v>197</v>
      </c>
      <c r="P16" s="13" t="s">
        <v>198</v>
      </c>
      <c r="Q16" s="13" t="s">
        <v>199</v>
      </c>
      <c r="R16" s="13"/>
      <c r="S16" s="18" t="s">
        <v>200</v>
      </c>
      <c r="T16" s="58" t="s">
        <v>201</v>
      </c>
      <c r="U16" s="56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</row>
    <row r="17" spans="1:44" ht="21" customHeight="1" x14ac:dyDescent="0.2">
      <c r="A17" s="1">
        <v>12</v>
      </c>
      <c r="B17" s="69"/>
      <c r="C17" s="69"/>
      <c r="D17" s="26" t="s">
        <v>202</v>
      </c>
      <c r="E17" s="27" t="s">
        <v>203</v>
      </c>
      <c r="F17" s="27" t="s">
        <v>38</v>
      </c>
      <c r="G17" s="13" t="s">
        <v>204</v>
      </c>
      <c r="H17" s="14" t="s">
        <v>162</v>
      </c>
      <c r="I17" s="17" t="s">
        <v>205</v>
      </c>
      <c r="J17" s="13" t="s">
        <v>18</v>
      </c>
      <c r="K17" s="13">
        <v>2</v>
      </c>
      <c r="L17" s="13" t="s">
        <v>206</v>
      </c>
      <c r="M17" s="13" t="s">
        <v>207</v>
      </c>
      <c r="N17" s="13" t="s">
        <v>208</v>
      </c>
      <c r="O17" s="13" t="s">
        <v>209</v>
      </c>
      <c r="P17" s="13" t="s">
        <v>211</v>
      </c>
      <c r="Q17" s="13" t="s">
        <v>212</v>
      </c>
      <c r="R17" s="13"/>
      <c r="S17" s="18" t="s">
        <v>75</v>
      </c>
      <c r="T17" s="58" t="s">
        <v>213</v>
      </c>
      <c r="U17" s="56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1:44" ht="21" customHeight="1" x14ac:dyDescent="0.2">
      <c r="A18" s="1">
        <v>13</v>
      </c>
      <c r="B18" s="69"/>
      <c r="C18" s="69"/>
      <c r="D18" s="26" t="s">
        <v>215</v>
      </c>
      <c r="E18" s="27" t="s">
        <v>216</v>
      </c>
      <c r="F18" s="27" t="s">
        <v>217</v>
      </c>
      <c r="G18" s="13" t="s">
        <v>218</v>
      </c>
      <c r="H18" s="14" t="s">
        <v>34</v>
      </c>
      <c r="I18" s="17" t="s">
        <v>220</v>
      </c>
      <c r="J18" s="13" t="s">
        <v>25</v>
      </c>
      <c r="K18" s="13">
        <v>2</v>
      </c>
      <c r="L18" s="13" t="s">
        <v>222</v>
      </c>
      <c r="M18" s="13" t="s">
        <v>224</v>
      </c>
      <c r="N18" s="13" t="s">
        <v>225</v>
      </c>
      <c r="O18" s="13" t="s">
        <v>227</v>
      </c>
      <c r="P18" s="13"/>
      <c r="Q18" s="13" t="s">
        <v>228</v>
      </c>
      <c r="R18" s="13"/>
      <c r="S18" s="18" t="s">
        <v>128</v>
      </c>
      <c r="T18" s="58" t="s">
        <v>229</v>
      </c>
      <c r="U18" s="56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1:44" ht="21" customHeight="1" x14ac:dyDescent="0.2">
      <c r="A19" s="1">
        <v>14</v>
      </c>
      <c r="B19" s="69"/>
      <c r="C19" s="69"/>
      <c r="D19" s="26" t="s">
        <v>230</v>
      </c>
      <c r="E19" s="27" t="s">
        <v>231</v>
      </c>
      <c r="F19" s="27" t="s">
        <v>232</v>
      </c>
      <c r="G19" s="13" t="s">
        <v>237</v>
      </c>
      <c r="H19" s="14" t="s">
        <v>238</v>
      </c>
      <c r="I19" s="17" t="s">
        <v>240</v>
      </c>
      <c r="J19" s="13" t="s">
        <v>25</v>
      </c>
      <c r="K19" s="13">
        <v>2</v>
      </c>
      <c r="L19" s="13" t="s">
        <v>242</v>
      </c>
      <c r="M19" s="13" t="s">
        <v>243</v>
      </c>
      <c r="N19" s="13" t="s">
        <v>42</v>
      </c>
      <c r="O19" s="13" t="s">
        <v>245</v>
      </c>
      <c r="P19" s="13" t="s">
        <v>246</v>
      </c>
      <c r="Q19" s="13" t="s">
        <v>247</v>
      </c>
      <c r="R19" s="13"/>
      <c r="S19" s="18" t="s">
        <v>128</v>
      </c>
      <c r="T19" s="58" t="s">
        <v>249</v>
      </c>
      <c r="U19" s="56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 spans="1:44" ht="21" customHeight="1" x14ac:dyDescent="0.2">
      <c r="A20" s="1">
        <v>15</v>
      </c>
      <c r="B20" s="69"/>
      <c r="C20" s="69"/>
      <c r="D20" s="26" t="s">
        <v>255</v>
      </c>
      <c r="E20" s="27" t="s">
        <v>256</v>
      </c>
      <c r="F20" s="27" t="s">
        <v>257</v>
      </c>
      <c r="G20" s="13" t="s">
        <v>258</v>
      </c>
      <c r="H20" s="14" t="s">
        <v>259</v>
      </c>
      <c r="I20" s="17" t="s">
        <v>261</v>
      </c>
      <c r="J20" s="13" t="s">
        <v>25</v>
      </c>
      <c r="K20" s="13">
        <v>2</v>
      </c>
      <c r="L20" s="13" t="s">
        <v>266</v>
      </c>
      <c r="M20" s="13" t="s">
        <v>267</v>
      </c>
      <c r="N20" s="13" t="s">
        <v>269</v>
      </c>
      <c r="O20" s="13" t="s">
        <v>270</v>
      </c>
      <c r="P20" s="13" t="s">
        <v>271</v>
      </c>
      <c r="Q20" s="13" t="s">
        <v>272</v>
      </c>
      <c r="R20" s="13"/>
      <c r="S20" s="18" t="s">
        <v>128</v>
      </c>
      <c r="T20" s="58" t="s">
        <v>275</v>
      </c>
      <c r="U20" s="56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</row>
    <row r="21" spans="1:44" ht="21" customHeight="1" x14ac:dyDescent="0.2">
      <c r="A21" s="1">
        <v>16</v>
      </c>
      <c r="B21" s="69"/>
      <c r="C21" s="69"/>
      <c r="D21" s="26" t="s">
        <v>234</v>
      </c>
      <c r="E21" s="27" t="s">
        <v>281</v>
      </c>
      <c r="F21" s="27" t="s">
        <v>217</v>
      </c>
      <c r="G21" s="13" t="s">
        <v>282</v>
      </c>
      <c r="H21" s="14" t="s">
        <v>284</v>
      </c>
      <c r="I21" s="17" t="s">
        <v>287</v>
      </c>
      <c r="J21" s="13" t="s">
        <v>25</v>
      </c>
      <c r="K21" s="13">
        <v>2</v>
      </c>
      <c r="L21" s="13" t="s">
        <v>288</v>
      </c>
      <c r="M21" s="13" t="s">
        <v>289</v>
      </c>
      <c r="N21" s="13" t="s">
        <v>291</v>
      </c>
      <c r="O21" s="13" t="s">
        <v>293</v>
      </c>
      <c r="P21" s="13" t="s">
        <v>295</v>
      </c>
      <c r="Q21" s="13" t="s">
        <v>296</v>
      </c>
      <c r="R21" s="13"/>
      <c r="S21" s="18" t="s">
        <v>56</v>
      </c>
      <c r="T21" s="58" t="s">
        <v>297</v>
      </c>
      <c r="U21" s="56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</row>
    <row r="22" spans="1:44" ht="21" customHeight="1" x14ac:dyDescent="0.2">
      <c r="A22" s="1">
        <v>17</v>
      </c>
      <c r="B22" s="55"/>
      <c r="C22" s="55"/>
      <c r="D22" s="29" t="s">
        <v>241</v>
      </c>
      <c r="E22" s="26" t="s">
        <v>298</v>
      </c>
      <c r="F22" s="26" t="s">
        <v>301</v>
      </c>
      <c r="G22" s="23" t="s">
        <v>302</v>
      </c>
      <c r="H22" s="33" t="s">
        <v>303</v>
      </c>
      <c r="I22" s="23" t="s">
        <v>306</v>
      </c>
      <c r="J22" s="23" t="s">
        <v>25</v>
      </c>
      <c r="K22" s="23">
        <v>2</v>
      </c>
      <c r="L22" s="23" t="s">
        <v>307</v>
      </c>
      <c r="M22" s="23" t="s">
        <v>308</v>
      </c>
      <c r="N22" s="23" t="s">
        <v>309</v>
      </c>
      <c r="O22" s="23" t="s">
        <v>310</v>
      </c>
      <c r="P22" s="23" t="s">
        <v>312</v>
      </c>
      <c r="Q22" s="23" t="s">
        <v>313</v>
      </c>
      <c r="R22" s="34"/>
      <c r="S22" s="31" t="s">
        <v>142</v>
      </c>
      <c r="T22" s="64" t="s">
        <v>316</v>
      </c>
      <c r="U22" s="56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</row>
    <row r="23" spans="1:44" ht="21" customHeight="1" x14ac:dyDescent="0.2">
      <c r="A23" s="1">
        <v>18</v>
      </c>
      <c r="B23" s="68" t="str">
        <f>"E3                      ("&amp;COUNTA(D23:D33)&amp;")"</f>
        <v>E3                      (11)</v>
      </c>
      <c r="C23" s="70" t="s">
        <v>320</v>
      </c>
      <c r="D23" s="26" t="s">
        <v>315</v>
      </c>
      <c r="E23" s="27" t="s">
        <v>321</v>
      </c>
      <c r="F23" s="27" t="s">
        <v>17</v>
      </c>
      <c r="G23" s="13" t="s">
        <v>322</v>
      </c>
      <c r="H23" s="14" t="s">
        <v>323</v>
      </c>
      <c r="I23" s="17" t="s">
        <v>324</v>
      </c>
      <c r="J23" s="13" t="s">
        <v>18</v>
      </c>
      <c r="K23" s="13">
        <v>3</v>
      </c>
      <c r="L23" s="13" t="s">
        <v>326</v>
      </c>
      <c r="M23" s="13" t="s">
        <v>327</v>
      </c>
      <c r="N23" s="13" t="s">
        <v>328</v>
      </c>
      <c r="O23" s="13" t="s">
        <v>329</v>
      </c>
      <c r="P23" s="13" t="s">
        <v>330</v>
      </c>
      <c r="Q23" s="13" t="s">
        <v>331</v>
      </c>
      <c r="R23" s="13"/>
      <c r="S23" s="18" t="s">
        <v>332</v>
      </c>
      <c r="T23" s="58" t="s">
        <v>333</v>
      </c>
      <c r="U23" s="56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</row>
    <row r="24" spans="1:44" ht="21" customHeight="1" x14ac:dyDescent="0.2">
      <c r="A24" s="1">
        <v>19</v>
      </c>
      <c r="B24" s="69"/>
      <c r="C24" s="69"/>
      <c r="D24" s="26" t="s">
        <v>335</v>
      </c>
      <c r="E24" s="27" t="s">
        <v>337</v>
      </c>
      <c r="F24" s="27" t="s">
        <v>338</v>
      </c>
      <c r="G24" s="13" t="s">
        <v>339</v>
      </c>
      <c r="H24" s="14" t="s">
        <v>340</v>
      </c>
      <c r="I24" s="17" t="s">
        <v>341</v>
      </c>
      <c r="J24" s="13" t="s">
        <v>18</v>
      </c>
      <c r="K24" s="13">
        <v>3</v>
      </c>
      <c r="L24" s="13" t="s">
        <v>345</v>
      </c>
      <c r="M24" s="13" t="s">
        <v>347</v>
      </c>
      <c r="N24" s="13" t="s">
        <v>349</v>
      </c>
      <c r="O24" s="13" t="s">
        <v>351</v>
      </c>
      <c r="P24" s="13" t="s">
        <v>352</v>
      </c>
      <c r="Q24" s="13" t="s">
        <v>353</v>
      </c>
      <c r="R24" s="13"/>
      <c r="S24" s="18" t="s">
        <v>354</v>
      </c>
      <c r="T24" s="58" t="s">
        <v>355</v>
      </c>
      <c r="U24" s="56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</row>
    <row r="25" spans="1:44" ht="21" customHeight="1" x14ac:dyDescent="0.2">
      <c r="A25" s="1">
        <v>20</v>
      </c>
      <c r="B25" s="69"/>
      <c r="C25" s="69"/>
      <c r="D25" s="29" t="s">
        <v>356</v>
      </c>
      <c r="E25" s="27" t="s">
        <v>357</v>
      </c>
      <c r="F25" s="27" t="s">
        <v>358</v>
      </c>
      <c r="G25" s="13" t="s">
        <v>359</v>
      </c>
      <c r="H25" s="14" t="s">
        <v>192</v>
      </c>
      <c r="I25" s="17" t="s">
        <v>193</v>
      </c>
      <c r="J25" s="13" t="s">
        <v>25</v>
      </c>
      <c r="K25" s="13">
        <v>3</v>
      </c>
      <c r="L25" s="13" t="s">
        <v>360</v>
      </c>
      <c r="M25" s="13" t="s">
        <v>195</v>
      </c>
      <c r="N25" s="13" t="s">
        <v>196</v>
      </c>
      <c r="O25" s="13" t="s">
        <v>197</v>
      </c>
      <c r="P25" s="13" t="s">
        <v>198</v>
      </c>
      <c r="Q25" s="13" t="s">
        <v>199</v>
      </c>
      <c r="R25" s="13"/>
      <c r="S25" s="18" t="s">
        <v>200</v>
      </c>
      <c r="T25" s="58" t="s">
        <v>201</v>
      </c>
      <c r="U25" s="56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</row>
    <row r="26" spans="1:44" ht="21" customHeight="1" x14ac:dyDescent="0.2">
      <c r="A26" s="1">
        <v>21</v>
      </c>
      <c r="B26" s="69"/>
      <c r="C26" s="69"/>
      <c r="D26" s="29" t="s">
        <v>362</v>
      </c>
      <c r="E26" s="27" t="s">
        <v>364</v>
      </c>
      <c r="F26" s="27" t="s">
        <v>365</v>
      </c>
      <c r="G26" s="13" t="s">
        <v>367</v>
      </c>
      <c r="H26" s="14" t="s">
        <v>162</v>
      </c>
      <c r="I26" s="17" t="s">
        <v>368</v>
      </c>
      <c r="J26" s="13" t="s">
        <v>25</v>
      </c>
      <c r="K26" s="13">
        <v>3</v>
      </c>
      <c r="L26" s="13" t="s">
        <v>369</v>
      </c>
      <c r="M26" s="13"/>
      <c r="N26" s="13" t="s">
        <v>370</v>
      </c>
      <c r="O26" s="13" t="s">
        <v>371</v>
      </c>
      <c r="P26" s="13"/>
      <c r="Q26" s="13" t="s">
        <v>372</v>
      </c>
      <c r="R26" s="13"/>
      <c r="S26" s="18" t="s">
        <v>373</v>
      </c>
      <c r="T26" s="58" t="s">
        <v>374</v>
      </c>
      <c r="U26" s="56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</row>
    <row r="27" spans="1:44" ht="21" customHeight="1" x14ac:dyDescent="0.2">
      <c r="A27" s="1">
        <v>22</v>
      </c>
      <c r="B27" s="69"/>
      <c r="C27" s="69"/>
      <c r="D27" s="29" t="s">
        <v>375</v>
      </c>
      <c r="E27" s="27" t="s">
        <v>376</v>
      </c>
      <c r="F27" s="27" t="s">
        <v>377</v>
      </c>
      <c r="G27" s="13" t="s">
        <v>378</v>
      </c>
      <c r="H27" s="14" t="s">
        <v>379</v>
      </c>
      <c r="I27" s="17" t="s">
        <v>380</v>
      </c>
      <c r="J27" s="13" t="s">
        <v>25</v>
      </c>
      <c r="K27" s="13">
        <v>3</v>
      </c>
      <c r="L27" s="13" t="s">
        <v>381</v>
      </c>
      <c r="M27" s="13" t="s">
        <v>382</v>
      </c>
      <c r="N27" s="13" t="s">
        <v>384</v>
      </c>
      <c r="O27" s="13" t="s">
        <v>386</v>
      </c>
      <c r="P27" s="13" t="s">
        <v>387</v>
      </c>
      <c r="Q27" s="13" t="s">
        <v>389</v>
      </c>
      <c r="R27" s="13"/>
      <c r="S27" s="18" t="s">
        <v>56</v>
      </c>
      <c r="T27" s="58" t="s">
        <v>390</v>
      </c>
      <c r="U27" s="56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</row>
    <row r="28" spans="1:44" ht="21" customHeight="1" x14ac:dyDescent="0.2">
      <c r="A28" s="1">
        <v>23</v>
      </c>
      <c r="B28" s="69"/>
      <c r="C28" s="69"/>
      <c r="D28" s="26" t="s">
        <v>393</v>
      </c>
      <c r="E28" s="27" t="s">
        <v>394</v>
      </c>
      <c r="F28" s="27" t="s">
        <v>395</v>
      </c>
      <c r="G28" s="13" t="s">
        <v>396</v>
      </c>
      <c r="H28" s="14" t="s">
        <v>397</v>
      </c>
      <c r="I28" s="17" t="s">
        <v>398</v>
      </c>
      <c r="J28" s="13" t="s">
        <v>18</v>
      </c>
      <c r="K28" s="13">
        <v>3</v>
      </c>
      <c r="L28" s="13" t="s">
        <v>399</v>
      </c>
      <c r="M28" s="13" t="s">
        <v>400</v>
      </c>
      <c r="N28" s="13" t="s">
        <v>401</v>
      </c>
      <c r="O28" s="13" t="s">
        <v>402</v>
      </c>
      <c r="P28" s="13" t="s">
        <v>403</v>
      </c>
      <c r="Q28" s="13" t="s">
        <v>404</v>
      </c>
      <c r="R28" s="13"/>
      <c r="S28" s="18" t="s">
        <v>75</v>
      </c>
      <c r="T28" s="58" t="s">
        <v>213</v>
      </c>
      <c r="U28" s="56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</row>
    <row r="29" spans="1:44" ht="21" customHeight="1" x14ac:dyDescent="0.2">
      <c r="A29" s="1">
        <v>24</v>
      </c>
      <c r="B29" s="69"/>
      <c r="C29" s="69"/>
      <c r="D29" s="26" t="s">
        <v>407</v>
      </c>
      <c r="E29" s="27" t="s">
        <v>408</v>
      </c>
      <c r="F29" s="27" t="s">
        <v>409</v>
      </c>
      <c r="G29" s="13" t="s">
        <v>410</v>
      </c>
      <c r="H29" s="14" t="s">
        <v>411</v>
      </c>
      <c r="I29" s="17" t="s">
        <v>413</v>
      </c>
      <c r="J29" s="13" t="s">
        <v>25</v>
      </c>
      <c r="K29" s="13">
        <v>3</v>
      </c>
      <c r="L29" s="13" t="s">
        <v>415</v>
      </c>
      <c r="M29" s="13" t="s">
        <v>416</v>
      </c>
      <c r="N29" s="13" t="s">
        <v>417</v>
      </c>
      <c r="O29" s="13" t="s">
        <v>418</v>
      </c>
      <c r="P29" s="13" t="s">
        <v>419</v>
      </c>
      <c r="Q29" s="13" t="s">
        <v>420</v>
      </c>
      <c r="R29" s="13" t="s">
        <v>421</v>
      </c>
      <c r="S29" s="18" t="s">
        <v>422</v>
      </c>
      <c r="T29" s="58" t="s">
        <v>423</v>
      </c>
      <c r="U29" s="56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</row>
    <row r="30" spans="1:44" ht="21" customHeight="1" x14ac:dyDescent="0.2">
      <c r="A30" s="1">
        <v>25</v>
      </c>
      <c r="B30" s="69"/>
      <c r="C30" s="69"/>
      <c r="D30" s="26" t="s">
        <v>426</v>
      </c>
      <c r="E30" s="27" t="s">
        <v>427</v>
      </c>
      <c r="F30" s="27" t="s">
        <v>428</v>
      </c>
      <c r="G30" s="13" t="s">
        <v>429</v>
      </c>
      <c r="H30" s="14" t="s">
        <v>430</v>
      </c>
      <c r="I30" s="17" t="s">
        <v>431</v>
      </c>
      <c r="J30" s="13" t="s">
        <v>25</v>
      </c>
      <c r="K30" s="13">
        <v>3</v>
      </c>
      <c r="L30" s="13" t="s">
        <v>432</v>
      </c>
      <c r="M30" s="13" t="s">
        <v>433</v>
      </c>
      <c r="N30" s="13" t="s">
        <v>434</v>
      </c>
      <c r="O30" s="13" t="s">
        <v>435</v>
      </c>
      <c r="P30" s="13" t="s">
        <v>436</v>
      </c>
      <c r="Q30" s="13" t="s">
        <v>437</v>
      </c>
      <c r="R30" s="13"/>
      <c r="S30" s="18" t="s">
        <v>128</v>
      </c>
      <c r="T30" s="58" t="s">
        <v>438</v>
      </c>
      <c r="U30" s="56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</row>
    <row r="31" spans="1:44" ht="21" customHeight="1" x14ac:dyDescent="0.2">
      <c r="A31" s="1">
        <v>26</v>
      </c>
      <c r="B31" s="69"/>
      <c r="C31" s="69"/>
      <c r="D31" s="26" t="s">
        <v>441</v>
      </c>
      <c r="E31" s="27" t="s">
        <v>442</v>
      </c>
      <c r="F31" s="27" t="s">
        <v>443</v>
      </c>
      <c r="G31" s="13" t="s">
        <v>444</v>
      </c>
      <c r="H31" s="14" t="s">
        <v>445</v>
      </c>
      <c r="I31" s="17" t="s">
        <v>446</v>
      </c>
      <c r="J31" s="13" t="s">
        <v>18</v>
      </c>
      <c r="K31" s="13">
        <v>3</v>
      </c>
      <c r="L31" s="13" t="s">
        <v>449</v>
      </c>
      <c r="M31" s="13" t="s">
        <v>450</v>
      </c>
      <c r="N31" s="13" t="s">
        <v>451</v>
      </c>
      <c r="O31" s="13" t="s">
        <v>452</v>
      </c>
      <c r="P31" s="13" t="s">
        <v>453</v>
      </c>
      <c r="Q31" s="37" t="s">
        <v>454</v>
      </c>
      <c r="R31" s="13"/>
      <c r="S31" s="18" t="s">
        <v>128</v>
      </c>
      <c r="T31" s="58" t="s">
        <v>457</v>
      </c>
      <c r="U31" s="56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</row>
    <row r="32" spans="1:44" ht="21" customHeight="1" x14ac:dyDescent="0.2">
      <c r="A32" s="1">
        <v>27</v>
      </c>
      <c r="B32" s="69"/>
      <c r="C32" s="69"/>
      <c r="D32" s="29" t="s">
        <v>459</v>
      </c>
      <c r="E32" s="27" t="s">
        <v>460</v>
      </c>
      <c r="F32" s="27" t="s">
        <v>461</v>
      </c>
      <c r="G32" s="13" t="s">
        <v>462</v>
      </c>
      <c r="H32" s="14" t="s">
        <v>47</v>
      </c>
      <c r="I32" s="28" t="s">
        <v>48</v>
      </c>
      <c r="J32" s="13" t="s">
        <v>25</v>
      </c>
      <c r="K32" s="13">
        <v>3</v>
      </c>
      <c r="L32" s="13" t="s">
        <v>465</v>
      </c>
      <c r="M32" s="13" t="s">
        <v>51</v>
      </c>
      <c r="N32" s="13" t="s">
        <v>52</v>
      </c>
      <c r="O32" s="13" t="s">
        <v>53</v>
      </c>
      <c r="P32" s="13" t="s">
        <v>54</v>
      </c>
      <c r="Q32" s="13" t="s">
        <v>55</v>
      </c>
      <c r="R32" s="38"/>
      <c r="S32" s="18" t="s">
        <v>468</v>
      </c>
      <c r="T32" s="58" t="s">
        <v>469</v>
      </c>
      <c r="U32" s="56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</row>
    <row r="33" spans="1:44" ht="21" customHeight="1" x14ac:dyDescent="0.2">
      <c r="A33" s="1">
        <v>28</v>
      </c>
      <c r="B33" s="55"/>
      <c r="C33" s="69"/>
      <c r="D33" s="29" t="s">
        <v>412</v>
      </c>
      <c r="E33" s="27" t="s">
        <v>471</v>
      </c>
      <c r="F33" s="27" t="s">
        <v>472</v>
      </c>
      <c r="G33" s="13" t="s">
        <v>473</v>
      </c>
      <c r="H33" s="14" t="s">
        <v>474</v>
      </c>
      <c r="I33" s="17" t="s">
        <v>475</v>
      </c>
      <c r="J33" s="13" t="s">
        <v>18</v>
      </c>
      <c r="K33" s="13">
        <v>3</v>
      </c>
      <c r="L33" s="13" t="s">
        <v>477</v>
      </c>
      <c r="M33" s="13" t="s">
        <v>478</v>
      </c>
      <c r="N33" s="13" t="s">
        <v>479</v>
      </c>
      <c r="O33" s="13" t="s">
        <v>480</v>
      </c>
      <c r="P33" s="13" t="s">
        <v>481</v>
      </c>
      <c r="Q33" s="13" t="s">
        <v>482</v>
      </c>
      <c r="R33" s="13"/>
      <c r="S33" s="18" t="s">
        <v>483</v>
      </c>
      <c r="T33" s="58" t="s">
        <v>484</v>
      </c>
      <c r="U33" s="56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</row>
    <row r="34" spans="1:44" ht="21" customHeight="1" x14ac:dyDescent="0.2">
      <c r="A34" s="1">
        <v>29</v>
      </c>
      <c r="B34" s="68" t="str">
        <f>"E4                      ("&amp;COUNTA(D34:D44)&amp;")"</f>
        <v>E4                      (11)</v>
      </c>
      <c r="C34" s="70" t="s">
        <v>485</v>
      </c>
      <c r="D34" s="26" t="s">
        <v>486</v>
      </c>
      <c r="E34" s="27" t="s">
        <v>487</v>
      </c>
      <c r="F34" s="27" t="s">
        <v>488</v>
      </c>
      <c r="G34" s="13" t="s">
        <v>489</v>
      </c>
      <c r="H34" s="14" t="s">
        <v>80</v>
      </c>
      <c r="I34" s="17" t="s">
        <v>490</v>
      </c>
      <c r="J34" s="13" t="s">
        <v>25</v>
      </c>
      <c r="K34" s="13">
        <v>4</v>
      </c>
      <c r="L34" s="13" t="s">
        <v>491</v>
      </c>
      <c r="M34" s="13" t="s">
        <v>83</v>
      </c>
      <c r="N34" s="13" t="s">
        <v>84</v>
      </c>
      <c r="O34" s="13" t="s">
        <v>492</v>
      </c>
      <c r="P34" s="13" t="s">
        <v>86</v>
      </c>
      <c r="Q34" s="13" t="s">
        <v>87</v>
      </c>
      <c r="R34" s="13" t="s">
        <v>493</v>
      </c>
      <c r="S34" s="18" t="s">
        <v>35</v>
      </c>
      <c r="T34" s="58" t="s">
        <v>494</v>
      </c>
      <c r="U34" s="56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</row>
    <row r="35" spans="1:44" ht="21" customHeight="1" x14ac:dyDescent="0.2">
      <c r="A35" s="1">
        <v>30</v>
      </c>
      <c r="B35" s="69"/>
      <c r="C35" s="69"/>
      <c r="D35" s="26" t="s">
        <v>495</v>
      </c>
      <c r="E35" s="27" t="s">
        <v>496</v>
      </c>
      <c r="F35" s="27" t="s">
        <v>98</v>
      </c>
      <c r="G35" s="13" t="s">
        <v>497</v>
      </c>
      <c r="H35" s="14" t="s">
        <v>498</v>
      </c>
      <c r="I35" s="17" t="s">
        <v>499</v>
      </c>
      <c r="J35" s="13" t="s">
        <v>18</v>
      </c>
      <c r="K35" s="13">
        <v>4</v>
      </c>
      <c r="L35" s="13" t="s">
        <v>500</v>
      </c>
      <c r="M35" s="13" t="s">
        <v>501</v>
      </c>
      <c r="N35" s="13" t="s">
        <v>502</v>
      </c>
      <c r="O35" s="13" t="s">
        <v>503</v>
      </c>
      <c r="P35" s="13" t="s">
        <v>504</v>
      </c>
      <c r="Q35" s="13" t="s">
        <v>505</v>
      </c>
      <c r="R35" s="13" t="s">
        <v>506</v>
      </c>
      <c r="S35" s="18" t="s">
        <v>507</v>
      </c>
      <c r="T35" s="58" t="s">
        <v>37</v>
      </c>
      <c r="U35" s="56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</row>
    <row r="36" spans="1:44" ht="21" customHeight="1" x14ac:dyDescent="0.2">
      <c r="A36" s="1">
        <v>31</v>
      </c>
      <c r="B36" s="69"/>
      <c r="C36" s="69"/>
      <c r="D36" s="26" t="s">
        <v>300</v>
      </c>
      <c r="E36" s="27" t="s">
        <v>508</v>
      </c>
      <c r="F36" s="27" t="s">
        <v>509</v>
      </c>
      <c r="G36" s="13" t="s">
        <v>510</v>
      </c>
      <c r="H36" s="14" t="s">
        <v>186</v>
      </c>
      <c r="I36" s="17" t="s">
        <v>511</v>
      </c>
      <c r="J36" s="13" t="s">
        <v>18</v>
      </c>
      <c r="K36" s="13">
        <v>4</v>
      </c>
      <c r="L36" s="13" t="s">
        <v>512</v>
      </c>
      <c r="M36" s="13" t="s">
        <v>513</v>
      </c>
      <c r="N36" s="13" t="s">
        <v>514</v>
      </c>
      <c r="O36" s="13" t="s">
        <v>515</v>
      </c>
      <c r="P36" s="13" t="s">
        <v>517</v>
      </c>
      <c r="Q36" s="13" t="s">
        <v>518</v>
      </c>
      <c r="R36" s="13" t="s">
        <v>31</v>
      </c>
      <c r="S36" s="18" t="s">
        <v>88</v>
      </c>
      <c r="T36" s="58" t="s">
        <v>519</v>
      </c>
      <c r="U36" s="56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</row>
    <row r="37" spans="1:44" ht="21" customHeight="1" x14ac:dyDescent="0.2">
      <c r="A37" s="1">
        <v>32</v>
      </c>
      <c r="B37" s="69"/>
      <c r="C37" s="69"/>
      <c r="D37" s="26" t="s">
        <v>233</v>
      </c>
      <c r="E37" s="27" t="s">
        <v>520</v>
      </c>
      <c r="F37" s="27" t="s">
        <v>521</v>
      </c>
      <c r="G37" s="13" t="s">
        <v>522</v>
      </c>
      <c r="H37" s="14" t="s">
        <v>284</v>
      </c>
      <c r="I37" s="17" t="s">
        <v>287</v>
      </c>
      <c r="J37" s="13" t="s">
        <v>25</v>
      </c>
      <c r="K37" s="13">
        <v>4</v>
      </c>
      <c r="L37" s="13" t="s">
        <v>524</v>
      </c>
      <c r="M37" s="13" t="s">
        <v>289</v>
      </c>
      <c r="N37" s="13" t="s">
        <v>291</v>
      </c>
      <c r="O37" s="13" t="s">
        <v>293</v>
      </c>
      <c r="P37" s="13" t="s">
        <v>295</v>
      </c>
      <c r="Q37" s="13" t="s">
        <v>296</v>
      </c>
      <c r="R37" s="13" t="s">
        <v>31</v>
      </c>
      <c r="S37" s="18" t="s">
        <v>525</v>
      </c>
      <c r="T37" s="58" t="s">
        <v>526</v>
      </c>
      <c r="U37" s="56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</row>
    <row r="38" spans="1:44" ht="21" customHeight="1" x14ac:dyDescent="0.2">
      <c r="A38" s="1">
        <v>33</v>
      </c>
      <c r="B38" s="69"/>
      <c r="C38" s="69"/>
      <c r="D38" s="26" t="s">
        <v>527</v>
      </c>
      <c r="E38" s="27" t="s">
        <v>528</v>
      </c>
      <c r="F38" s="27" t="s">
        <v>529</v>
      </c>
      <c r="G38" s="13" t="s">
        <v>530</v>
      </c>
      <c r="H38" s="14" t="s">
        <v>45</v>
      </c>
      <c r="I38" s="17" t="s">
        <v>531</v>
      </c>
      <c r="J38" s="13" t="s">
        <v>25</v>
      </c>
      <c r="K38" s="13">
        <v>4</v>
      </c>
      <c r="L38" s="13" t="s">
        <v>532</v>
      </c>
      <c r="M38" s="13" t="s">
        <v>533</v>
      </c>
      <c r="N38" s="13" t="s">
        <v>534</v>
      </c>
      <c r="O38" s="13" t="s">
        <v>535</v>
      </c>
      <c r="P38" s="13" t="s">
        <v>536</v>
      </c>
      <c r="Q38" s="13" t="s">
        <v>537</v>
      </c>
      <c r="R38" s="13"/>
      <c r="S38" s="18" t="s">
        <v>332</v>
      </c>
      <c r="T38" s="58" t="s">
        <v>538</v>
      </c>
      <c r="U38" s="56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</row>
    <row r="39" spans="1:44" ht="21" customHeight="1" x14ac:dyDescent="0.2">
      <c r="A39" s="1">
        <v>34</v>
      </c>
      <c r="B39" s="69"/>
      <c r="C39" s="69"/>
      <c r="D39" s="26" t="s">
        <v>366</v>
      </c>
      <c r="E39" s="27" t="s">
        <v>539</v>
      </c>
      <c r="F39" s="27" t="s">
        <v>540</v>
      </c>
      <c r="G39" s="13" t="s">
        <v>541</v>
      </c>
      <c r="H39" s="14" t="s">
        <v>542</v>
      </c>
      <c r="I39" s="17" t="s">
        <v>543</v>
      </c>
      <c r="J39" s="13" t="s">
        <v>18</v>
      </c>
      <c r="K39" s="13">
        <v>4</v>
      </c>
      <c r="L39" s="13" t="s">
        <v>544</v>
      </c>
      <c r="M39" s="13" t="s">
        <v>545</v>
      </c>
      <c r="N39" s="13" t="s">
        <v>546</v>
      </c>
      <c r="O39" s="13" t="s">
        <v>547</v>
      </c>
      <c r="P39" s="13" t="s">
        <v>548</v>
      </c>
      <c r="Q39" s="13" t="s">
        <v>549</v>
      </c>
      <c r="R39" s="13"/>
      <c r="S39" s="18" t="s">
        <v>525</v>
      </c>
      <c r="T39" s="58" t="s">
        <v>550</v>
      </c>
      <c r="U39" s="56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</row>
    <row r="40" spans="1:44" ht="21" customHeight="1" x14ac:dyDescent="0.2">
      <c r="A40" s="1">
        <v>35</v>
      </c>
      <c r="B40" s="69"/>
      <c r="C40" s="69"/>
      <c r="D40" s="26" t="s">
        <v>286</v>
      </c>
      <c r="E40" s="27" t="s">
        <v>551</v>
      </c>
      <c r="F40" s="27" t="s">
        <v>552</v>
      </c>
      <c r="G40" s="13" t="s">
        <v>553</v>
      </c>
      <c r="H40" s="14" t="s">
        <v>554</v>
      </c>
      <c r="I40" s="17" t="s">
        <v>555</v>
      </c>
      <c r="J40" s="13" t="s">
        <v>25</v>
      </c>
      <c r="K40" s="13">
        <v>4</v>
      </c>
      <c r="L40" s="13" t="s">
        <v>556</v>
      </c>
      <c r="M40" s="13" t="s">
        <v>557</v>
      </c>
      <c r="N40" s="13" t="s">
        <v>558</v>
      </c>
      <c r="O40" s="13" t="s">
        <v>559</v>
      </c>
      <c r="P40" s="13" t="s">
        <v>560</v>
      </c>
      <c r="Q40" s="13" t="s">
        <v>561</v>
      </c>
      <c r="R40" s="13" t="s">
        <v>31</v>
      </c>
      <c r="S40" s="18" t="s">
        <v>525</v>
      </c>
      <c r="T40" s="58" t="s">
        <v>562</v>
      </c>
      <c r="U40" s="56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</row>
    <row r="41" spans="1:44" ht="21" customHeight="1" x14ac:dyDescent="0.2">
      <c r="A41" s="1">
        <v>36</v>
      </c>
      <c r="B41" s="69"/>
      <c r="C41" s="69"/>
      <c r="D41" s="26" t="s">
        <v>563</v>
      </c>
      <c r="E41" s="27" t="s">
        <v>564</v>
      </c>
      <c r="F41" s="27" t="s">
        <v>565</v>
      </c>
      <c r="G41" s="13" t="s">
        <v>566</v>
      </c>
      <c r="H41" s="14" t="s">
        <v>567</v>
      </c>
      <c r="I41" s="17" t="s">
        <v>568</v>
      </c>
      <c r="J41" s="13" t="s">
        <v>25</v>
      </c>
      <c r="K41" s="13">
        <v>4</v>
      </c>
      <c r="L41" s="13" t="s">
        <v>569</v>
      </c>
      <c r="M41" s="13" t="s">
        <v>570</v>
      </c>
      <c r="N41" s="13" t="s">
        <v>571</v>
      </c>
      <c r="O41" s="13" t="s">
        <v>572</v>
      </c>
      <c r="P41" s="13" t="s">
        <v>573</v>
      </c>
      <c r="Q41" s="13" t="s">
        <v>574</v>
      </c>
      <c r="R41" s="13" t="s">
        <v>575</v>
      </c>
      <c r="S41" s="18" t="s">
        <v>128</v>
      </c>
      <c r="T41" s="58" t="s">
        <v>576</v>
      </c>
      <c r="U41" s="56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</row>
    <row r="42" spans="1:44" ht="21" customHeight="1" x14ac:dyDescent="0.2">
      <c r="A42" s="1">
        <v>37</v>
      </c>
      <c r="B42" s="69"/>
      <c r="C42" s="69"/>
      <c r="D42" s="26" t="s">
        <v>577</v>
      </c>
      <c r="E42" s="27" t="s">
        <v>579</v>
      </c>
      <c r="F42" s="27" t="s">
        <v>377</v>
      </c>
      <c r="G42" s="13" t="s">
        <v>580</v>
      </c>
      <c r="H42" s="14" t="s">
        <v>34</v>
      </c>
      <c r="I42" s="17" t="s">
        <v>581</v>
      </c>
      <c r="J42" s="13" t="s">
        <v>25</v>
      </c>
      <c r="K42" s="13">
        <v>4</v>
      </c>
      <c r="L42" s="13" t="s">
        <v>582</v>
      </c>
      <c r="M42" s="13" t="s">
        <v>583</v>
      </c>
      <c r="N42" s="13" t="s">
        <v>584</v>
      </c>
      <c r="O42" s="13" t="s">
        <v>585</v>
      </c>
      <c r="P42" s="13" t="s">
        <v>586</v>
      </c>
      <c r="Q42" s="13" t="s">
        <v>588</v>
      </c>
      <c r="R42" s="13"/>
      <c r="S42" s="18" t="s">
        <v>128</v>
      </c>
      <c r="T42" s="58" t="s">
        <v>275</v>
      </c>
      <c r="U42" s="56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</row>
    <row r="43" spans="1:44" ht="21" customHeight="1" x14ac:dyDescent="0.2">
      <c r="A43" s="1">
        <v>38</v>
      </c>
      <c r="B43" s="69"/>
      <c r="C43" s="69"/>
      <c r="D43" s="26" t="s">
        <v>596</v>
      </c>
      <c r="E43" s="27" t="s">
        <v>597</v>
      </c>
      <c r="F43" s="27" t="s">
        <v>598</v>
      </c>
      <c r="G43" s="13" t="s">
        <v>599</v>
      </c>
      <c r="H43" s="14" t="s">
        <v>600</v>
      </c>
      <c r="I43" s="28" t="s">
        <v>601</v>
      </c>
      <c r="J43" s="13" t="s">
        <v>25</v>
      </c>
      <c r="K43" s="13">
        <v>4</v>
      </c>
      <c r="L43" s="13" t="s">
        <v>602</v>
      </c>
      <c r="M43" s="13" t="s">
        <v>603</v>
      </c>
      <c r="N43" s="13" t="s">
        <v>604</v>
      </c>
      <c r="O43" s="13" t="s">
        <v>605</v>
      </c>
      <c r="P43" s="13" t="s">
        <v>606</v>
      </c>
      <c r="Q43" s="13" t="s">
        <v>607</v>
      </c>
      <c r="R43" s="13" t="s">
        <v>608</v>
      </c>
      <c r="S43" s="18" t="s">
        <v>422</v>
      </c>
      <c r="T43" s="58" t="s">
        <v>423</v>
      </c>
      <c r="U43" s="56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</row>
    <row r="44" spans="1:44" ht="21" customHeight="1" x14ac:dyDescent="0.2">
      <c r="A44" s="1">
        <v>39</v>
      </c>
      <c r="B44" s="55"/>
      <c r="C44" s="55"/>
      <c r="D44" s="26" t="s">
        <v>319</v>
      </c>
      <c r="E44" s="27" t="s">
        <v>609</v>
      </c>
      <c r="F44" s="27" t="s">
        <v>610</v>
      </c>
      <c r="G44" s="13" t="s">
        <v>611</v>
      </c>
      <c r="H44" s="14" t="s">
        <v>66</v>
      </c>
      <c r="I44" s="17" t="s">
        <v>68</v>
      </c>
      <c r="J44" s="13" t="s">
        <v>25</v>
      </c>
      <c r="K44" s="13">
        <v>4</v>
      </c>
      <c r="L44" s="13" t="s">
        <v>612</v>
      </c>
      <c r="M44" s="13" t="s">
        <v>70</v>
      </c>
      <c r="N44" s="13" t="s">
        <v>71</v>
      </c>
      <c r="O44" s="13" t="s">
        <v>72</v>
      </c>
      <c r="P44" s="13" t="s">
        <v>73</v>
      </c>
      <c r="Q44" s="13" t="s">
        <v>74</v>
      </c>
      <c r="R44" s="13"/>
      <c r="S44" s="18" t="s">
        <v>613</v>
      </c>
      <c r="T44" s="58" t="s">
        <v>614</v>
      </c>
      <c r="U44" s="56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</row>
    <row r="45" spans="1:44" ht="21" customHeight="1" x14ac:dyDescent="0.2">
      <c r="A45" s="1">
        <v>40</v>
      </c>
      <c r="B45" s="68" t="str">
        <f>"E5                      ("&amp;COUNTA(D45:D53)&amp;")"</f>
        <v>E5                      (9)</v>
      </c>
      <c r="C45" s="70" t="s">
        <v>618</v>
      </c>
      <c r="D45" s="26" t="s">
        <v>620</v>
      </c>
      <c r="E45" s="27" t="s">
        <v>621</v>
      </c>
      <c r="F45" s="27" t="s">
        <v>622</v>
      </c>
      <c r="G45" s="13" t="s">
        <v>623</v>
      </c>
      <c r="H45" s="14" t="s">
        <v>624</v>
      </c>
      <c r="I45" s="17" t="s">
        <v>625</v>
      </c>
      <c r="J45" s="13" t="s">
        <v>25</v>
      </c>
      <c r="K45" s="13">
        <v>5</v>
      </c>
      <c r="L45" s="13" t="s">
        <v>626</v>
      </c>
      <c r="M45" s="13" t="s">
        <v>627</v>
      </c>
      <c r="N45" s="13" t="s">
        <v>628</v>
      </c>
      <c r="O45" s="13" t="s">
        <v>629</v>
      </c>
      <c r="P45" s="13" t="s">
        <v>630</v>
      </c>
      <c r="Q45" s="13" t="s">
        <v>631</v>
      </c>
      <c r="R45" s="13" t="s">
        <v>31</v>
      </c>
      <c r="S45" s="18" t="s">
        <v>632</v>
      </c>
      <c r="T45" s="58" t="s">
        <v>633</v>
      </c>
      <c r="U45" s="56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</row>
    <row r="46" spans="1:44" ht="21" customHeight="1" x14ac:dyDescent="0.2">
      <c r="A46" s="1">
        <v>41</v>
      </c>
      <c r="B46" s="69"/>
      <c r="C46" s="69"/>
      <c r="D46" s="26" t="s">
        <v>276</v>
      </c>
      <c r="E46" s="27" t="s">
        <v>634</v>
      </c>
      <c r="F46" s="27" t="s">
        <v>467</v>
      </c>
      <c r="G46" s="13" t="s">
        <v>635</v>
      </c>
      <c r="H46" s="14" t="s">
        <v>636</v>
      </c>
      <c r="I46" s="17" t="s">
        <v>637</v>
      </c>
      <c r="J46" s="13" t="s">
        <v>18</v>
      </c>
      <c r="K46" s="13">
        <v>5</v>
      </c>
      <c r="L46" s="13" t="s">
        <v>638</v>
      </c>
      <c r="M46" s="13" t="s">
        <v>639</v>
      </c>
      <c r="N46" s="13" t="s">
        <v>640</v>
      </c>
      <c r="O46" s="13" t="s">
        <v>641</v>
      </c>
      <c r="P46" s="13" t="s">
        <v>642</v>
      </c>
      <c r="Q46" s="13" t="s">
        <v>643</v>
      </c>
      <c r="R46" s="13"/>
      <c r="S46" s="18" t="s">
        <v>632</v>
      </c>
      <c r="T46" s="58" t="s">
        <v>644</v>
      </c>
      <c r="U46" s="56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</row>
    <row r="47" spans="1:44" ht="21" customHeight="1" x14ac:dyDescent="0.2">
      <c r="A47" s="1">
        <v>42</v>
      </c>
      <c r="B47" s="69"/>
      <c r="C47" s="69"/>
      <c r="D47" s="26" t="s">
        <v>645</v>
      </c>
      <c r="E47" s="27" t="s">
        <v>646</v>
      </c>
      <c r="F47" s="27" t="s">
        <v>647</v>
      </c>
      <c r="G47" s="13" t="s">
        <v>648</v>
      </c>
      <c r="H47" s="14" t="s">
        <v>162</v>
      </c>
      <c r="I47" s="17" t="s">
        <v>649</v>
      </c>
      <c r="J47" s="13" t="s">
        <v>18</v>
      </c>
      <c r="K47" s="13">
        <v>5</v>
      </c>
      <c r="L47" s="13" t="s">
        <v>650</v>
      </c>
      <c r="M47" s="13" t="s">
        <v>651</v>
      </c>
      <c r="N47" s="13" t="s">
        <v>652</v>
      </c>
      <c r="O47" s="13" t="s">
        <v>653</v>
      </c>
      <c r="P47" s="13" t="s">
        <v>654</v>
      </c>
      <c r="Q47" s="13" t="s">
        <v>655</v>
      </c>
      <c r="R47" s="13" t="s">
        <v>656</v>
      </c>
      <c r="S47" s="18" t="s">
        <v>657</v>
      </c>
      <c r="T47" s="58" t="s">
        <v>658</v>
      </c>
      <c r="U47" s="56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</row>
    <row r="48" spans="1:44" ht="21" customHeight="1" x14ac:dyDescent="0.2">
      <c r="A48" s="1">
        <v>43</v>
      </c>
      <c r="B48" s="69"/>
      <c r="C48" s="69"/>
      <c r="D48" s="26" t="s">
        <v>659</v>
      </c>
      <c r="E48" s="27" t="s">
        <v>660</v>
      </c>
      <c r="F48" s="27" t="s">
        <v>661</v>
      </c>
      <c r="G48" s="13" t="s">
        <v>662</v>
      </c>
      <c r="H48" s="14" t="s">
        <v>474</v>
      </c>
      <c r="I48" s="17" t="s">
        <v>663</v>
      </c>
      <c r="J48" s="13" t="s">
        <v>18</v>
      </c>
      <c r="K48" s="13">
        <v>5</v>
      </c>
      <c r="L48" s="13" t="s">
        <v>664</v>
      </c>
      <c r="M48" s="13" t="s">
        <v>665</v>
      </c>
      <c r="N48" s="13" t="s">
        <v>666</v>
      </c>
      <c r="O48" s="13" t="s">
        <v>667</v>
      </c>
      <c r="P48" s="13" t="s">
        <v>668</v>
      </c>
      <c r="Q48" s="13" t="s">
        <v>669</v>
      </c>
      <c r="R48" s="13" t="s">
        <v>670</v>
      </c>
      <c r="S48" s="18" t="s">
        <v>671</v>
      </c>
      <c r="T48" s="58" t="s">
        <v>672</v>
      </c>
      <c r="U48" s="56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</row>
    <row r="49" spans="1:44" ht="21" customHeight="1" x14ac:dyDescent="0.2">
      <c r="A49" s="1">
        <v>44</v>
      </c>
      <c r="B49" s="69"/>
      <c r="C49" s="69"/>
      <c r="D49" s="26" t="s">
        <v>406</v>
      </c>
      <c r="E49" s="27" t="s">
        <v>674</v>
      </c>
      <c r="F49" s="27" t="s">
        <v>675</v>
      </c>
      <c r="G49" s="13" t="s">
        <v>676</v>
      </c>
      <c r="H49" s="14" t="s">
        <v>318</v>
      </c>
      <c r="I49" s="17" t="s">
        <v>677</v>
      </c>
      <c r="J49" s="13" t="s">
        <v>18</v>
      </c>
      <c r="K49" s="13">
        <v>5</v>
      </c>
      <c r="L49" s="13" t="s">
        <v>678</v>
      </c>
      <c r="M49" s="13" t="s">
        <v>679</v>
      </c>
      <c r="N49" s="13" t="s">
        <v>680</v>
      </c>
      <c r="O49" s="13" t="s">
        <v>681</v>
      </c>
      <c r="P49" s="13" t="s">
        <v>682</v>
      </c>
      <c r="Q49" s="13" t="s">
        <v>683</v>
      </c>
      <c r="R49" s="13" t="s">
        <v>684</v>
      </c>
      <c r="S49" s="18" t="s">
        <v>525</v>
      </c>
      <c r="T49" s="58" t="s">
        <v>685</v>
      </c>
      <c r="U49" s="56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</row>
    <row r="50" spans="1:44" ht="21" customHeight="1" x14ac:dyDescent="0.2">
      <c r="A50" s="1">
        <v>45</v>
      </c>
      <c r="B50" s="69"/>
      <c r="C50" s="69"/>
      <c r="D50" s="26" t="s">
        <v>686</v>
      </c>
      <c r="E50" s="27" t="s">
        <v>687</v>
      </c>
      <c r="F50" s="27" t="s">
        <v>688</v>
      </c>
      <c r="G50" s="13" t="s">
        <v>689</v>
      </c>
      <c r="H50" s="14" t="s">
        <v>624</v>
      </c>
      <c r="I50" s="17" t="s">
        <v>690</v>
      </c>
      <c r="J50" s="13" t="s">
        <v>18</v>
      </c>
      <c r="K50" s="13">
        <v>5</v>
      </c>
      <c r="L50" s="13" t="s">
        <v>691</v>
      </c>
      <c r="M50" s="13" t="s">
        <v>692</v>
      </c>
      <c r="N50" s="13" t="s">
        <v>693</v>
      </c>
      <c r="O50" s="13" t="s">
        <v>694</v>
      </c>
      <c r="P50" s="13" t="s">
        <v>695</v>
      </c>
      <c r="Q50" s="13" t="s">
        <v>696</v>
      </c>
      <c r="R50" s="13"/>
      <c r="S50" s="18" t="s">
        <v>507</v>
      </c>
      <c r="T50" s="58" t="s">
        <v>37</v>
      </c>
      <c r="U50" s="56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</row>
    <row r="51" spans="1:44" ht="21" customHeight="1" x14ac:dyDescent="0.2">
      <c r="A51" s="1">
        <v>46</v>
      </c>
      <c r="B51" s="69"/>
      <c r="C51" s="69"/>
      <c r="D51" s="29" t="s">
        <v>697</v>
      </c>
      <c r="E51" s="27" t="s">
        <v>698</v>
      </c>
      <c r="F51" s="27" t="s">
        <v>190</v>
      </c>
      <c r="G51" s="13" t="s">
        <v>699</v>
      </c>
      <c r="H51" s="14" t="s">
        <v>162</v>
      </c>
      <c r="I51" s="17" t="s">
        <v>700</v>
      </c>
      <c r="J51" s="13" t="s">
        <v>18</v>
      </c>
      <c r="K51" s="13">
        <v>5</v>
      </c>
      <c r="L51" s="13" t="s">
        <v>701</v>
      </c>
      <c r="M51" s="13" t="s">
        <v>702</v>
      </c>
      <c r="N51" s="13" t="s">
        <v>703</v>
      </c>
      <c r="O51" s="13" t="s">
        <v>704</v>
      </c>
      <c r="P51" s="13" t="s">
        <v>705</v>
      </c>
      <c r="Q51" s="13" t="s">
        <v>706</v>
      </c>
      <c r="R51" s="13"/>
      <c r="S51" s="18" t="s">
        <v>707</v>
      </c>
      <c r="T51" s="58" t="s">
        <v>708</v>
      </c>
      <c r="U51" s="56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</row>
    <row r="52" spans="1:44" ht="21" customHeight="1" x14ac:dyDescent="0.2">
      <c r="A52" s="1">
        <v>47</v>
      </c>
      <c r="B52" s="69"/>
      <c r="C52" s="69"/>
      <c r="D52" s="26" t="s">
        <v>244</v>
      </c>
      <c r="E52" s="26" t="s">
        <v>709</v>
      </c>
      <c r="F52" s="26" t="s">
        <v>710</v>
      </c>
      <c r="G52" s="23" t="s">
        <v>711</v>
      </c>
      <c r="H52" s="30" t="s">
        <v>58</v>
      </c>
      <c r="I52" s="23" t="s">
        <v>712</v>
      </c>
      <c r="J52" s="23" t="s">
        <v>25</v>
      </c>
      <c r="K52" s="23">
        <v>5</v>
      </c>
      <c r="L52" s="23" t="s">
        <v>713</v>
      </c>
      <c r="M52" s="23" t="s">
        <v>714</v>
      </c>
      <c r="N52" s="23" t="s">
        <v>715</v>
      </c>
      <c r="O52" s="23" t="s">
        <v>716</v>
      </c>
      <c r="P52" s="23" t="s">
        <v>717</v>
      </c>
      <c r="Q52" s="23" t="s">
        <v>718</v>
      </c>
      <c r="R52" s="23"/>
      <c r="S52" s="31" t="s">
        <v>142</v>
      </c>
      <c r="T52" s="64" t="s">
        <v>76</v>
      </c>
      <c r="U52" s="56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</row>
    <row r="53" spans="1:44" ht="21" customHeight="1" x14ac:dyDescent="0.2">
      <c r="A53" s="1">
        <v>48</v>
      </c>
      <c r="B53" s="55"/>
      <c r="C53" s="55"/>
      <c r="D53" s="29" t="s">
        <v>719</v>
      </c>
      <c r="E53" s="27" t="s">
        <v>720</v>
      </c>
      <c r="F53" s="27" t="s">
        <v>361</v>
      </c>
      <c r="G53" s="13" t="s">
        <v>721</v>
      </c>
      <c r="H53" s="14" t="s">
        <v>722</v>
      </c>
      <c r="I53" s="17" t="s">
        <v>723</v>
      </c>
      <c r="J53" s="13" t="s">
        <v>25</v>
      </c>
      <c r="K53" s="13">
        <v>5</v>
      </c>
      <c r="L53" s="13" t="s">
        <v>724</v>
      </c>
      <c r="M53" s="13" t="s">
        <v>725</v>
      </c>
      <c r="N53" s="13" t="s">
        <v>726</v>
      </c>
      <c r="O53" s="13" t="s">
        <v>727</v>
      </c>
      <c r="P53" s="13" t="s">
        <v>728</v>
      </c>
      <c r="Q53" s="13" t="s">
        <v>729</v>
      </c>
      <c r="R53" s="13" t="s">
        <v>730</v>
      </c>
      <c r="S53" s="18" t="s">
        <v>56</v>
      </c>
      <c r="T53" s="58" t="s">
        <v>297</v>
      </c>
      <c r="U53" s="56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</row>
    <row r="54" spans="1:44" ht="21" customHeight="1" x14ac:dyDescent="0.2">
      <c r="A54" s="1">
        <v>49</v>
      </c>
      <c r="B54" s="68" t="str">
        <f>"M6                      ("&amp;COUNTA(D54:D64)&amp;")"</f>
        <v>M6                      (11)</v>
      </c>
      <c r="C54" s="72" t="s">
        <v>732</v>
      </c>
      <c r="D54" s="27" t="s">
        <v>274</v>
      </c>
      <c r="E54" s="27" t="s">
        <v>733</v>
      </c>
      <c r="F54" s="27" t="s">
        <v>409</v>
      </c>
      <c r="G54" s="13" t="s">
        <v>734</v>
      </c>
      <c r="H54" s="14" t="s">
        <v>636</v>
      </c>
      <c r="I54" s="17" t="s">
        <v>735</v>
      </c>
      <c r="J54" s="13" t="s">
        <v>25</v>
      </c>
      <c r="K54" s="13">
        <v>6</v>
      </c>
      <c r="L54" s="13" t="s">
        <v>736</v>
      </c>
      <c r="M54" s="13" t="s">
        <v>639</v>
      </c>
      <c r="N54" s="13" t="s">
        <v>640</v>
      </c>
      <c r="O54" s="13" t="s">
        <v>641</v>
      </c>
      <c r="P54" s="13" t="s">
        <v>642</v>
      </c>
      <c r="Q54" s="13" t="s">
        <v>643</v>
      </c>
      <c r="R54" s="13" t="s">
        <v>31</v>
      </c>
      <c r="S54" s="18" t="s">
        <v>171</v>
      </c>
      <c r="T54" s="58" t="s">
        <v>1734</v>
      </c>
      <c r="U54" s="56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</row>
    <row r="55" spans="1:44" ht="21" customHeight="1" x14ac:dyDescent="0.2">
      <c r="A55" s="1">
        <v>50</v>
      </c>
      <c r="B55" s="69"/>
      <c r="C55" s="69"/>
      <c r="D55" s="27" t="s">
        <v>285</v>
      </c>
      <c r="E55" s="27" t="s">
        <v>742</v>
      </c>
      <c r="F55" s="27" t="s">
        <v>743</v>
      </c>
      <c r="G55" s="13" t="s">
        <v>744</v>
      </c>
      <c r="H55" s="14" t="s">
        <v>554</v>
      </c>
      <c r="I55" s="17" t="s">
        <v>555</v>
      </c>
      <c r="J55" s="13" t="s">
        <v>18</v>
      </c>
      <c r="K55" s="13">
        <v>6</v>
      </c>
      <c r="L55" s="13" t="s">
        <v>745</v>
      </c>
      <c r="M55" s="13" t="s">
        <v>557</v>
      </c>
      <c r="N55" s="13" t="s">
        <v>558</v>
      </c>
      <c r="O55" s="13" t="s">
        <v>559</v>
      </c>
      <c r="P55" s="13" t="s">
        <v>560</v>
      </c>
      <c r="Q55" s="40" t="s">
        <v>561</v>
      </c>
      <c r="R55" s="13" t="s">
        <v>746</v>
      </c>
      <c r="S55" s="18" t="s">
        <v>747</v>
      </c>
      <c r="T55" s="58" t="s">
        <v>748</v>
      </c>
      <c r="U55" s="56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</row>
    <row r="56" spans="1:44" ht="21" customHeight="1" x14ac:dyDescent="0.2">
      <c r="A56" s="1">
        <v>51</v>
      </c>
      <c r="B56" s="69"/>
      <c r="C56" s="69"/>
      <c r="D56" s="26" t="s">
        <v>299</v>
      </c>
      <c r="E56" s="27" t="s">
        <v>749</v>
      </c>
      <c r="F56" s="27" t="s">
        <v>377</v>
      </c>
      <c r="G56" s="13" t="s">
        <v>750</v>
      </c>
      <c r="H56" s="14" t="s">
        <v>186</v>
      </c>
      <c r="I56" s="17" t="s">
        <v>511</v>
      </c>
      <c r="J56" s="13" t="s">
        <v>25</v>
      </c>
      <c r="K56" s="13">
        <v>6</v>
      </c>
      <c r="L56" s="13" t="s">
        <v>615</v>
      </c>
      <c r="M56" s="13" t="s">
        <v>513</v>
      </c>
      <c r="N56" s="13" t="s">
        <v>514</v>
      </c>
      <c r="O56" s="13" t="s">
        <v>515</v>
      </c>
      <c r="P56" s="13" t="s">
        <v>517</v>
      </c>
      <c r="Q56" s="13" t="s">
        <v>518</v>
      </c>
      <c r="R56" s="13" t="s">
        <v>31</v>
      </c>
      <c r="S56" s="18" t="s">
        <v>88</v>
      </c>
      <c r="T56" s="58" t="s">
        <v>616</v>
      </c>
      <c r="U56" s="56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</row>
    <row r="57" spans="1:44" ht="21" customHeight="1" x14ac:dyDescent="0.2">
      <c r="A57" s="1">
        <v>52</v>
      </c>
      <c r="B57" s="69"/>
      <c r="C57" s="69"/>
      <c r="D57" s="26" t="s">
        <v>279</v>
      </c>
      <c r="E57" s="27" t="s">
        <v>751</v>
      </c>
      <c r="F57" s="27" t="s">
        <v>752</v>
      </c>
      <c r="G57" s="13" t="s">
        <v>753</v>
      </c>
      <c r="H57" s="14" t="s">
        <v>754</v>
      </c>
      <c r="I57" s="28" t="s">
        <v>755</v>
      </c>
      <c r="J57" s="13" t="s">
        <v>25</v>
      </c>
      <c r="K57" s="13">
        <v>6</v>
      </c>
      <c r="L57" s="13" t="s">
        <v>756</v>
      </c>
      <c r="M57" s="13" t="s">
        <v>757</v>
      </c>
      <c r="N57" s="13" t="s">
        <v>758</v>
      </c>
      <c r="O57" s="13" t="s">
        <v>759</v>
      </c>
      <c r="P57" s="13" t="s">
        <v>760</v>
      </c>
      <c r="Q57" s="13" t="s">
        <v>761</v>
      </c>
      <c r="R57" s="13" t="s">
        <v>762</v>
      </c>
      <c r="S57" s="18" t="s">
        <v>763</v>
      </c>
      <c r="T57" s="58" t="s">
        <v>764</v>
      </c>
      <c r="U57" s="56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</row>
    <row r="58" spans="1:44" ht="21" customHeight="1" x14ac:dyDescent="0.2">
      <c r="A58" s="1">
        <v>53</v>
      </c>
      <c r="B58" s="69"/>
      <c r="C58" s="69"/>
      <c r="D58" s="26" t="s">
        <v>765</v>
      </c>
      <c r="E58" s="27" t="s">
        <v>766</v>
      </c>
      <c r="F58" s="27" t="s">
        <v>767</v>
      </c>
      <c r="G58" s="13" t="s">
        <v>768</v>
      </c>
      <c r="H58" s="14" t="s">
        <v>430</v>
      </c>
      <c r="I58" s="17" t="s">
        <v>769</v>
      </c>
      <c r="J58" s="13" t="s">
        <v>18</v>
      </c>
      <c r="K58" s="13">
        <v>6</v>
      </c>
      <c r="L58" s="13" t="s">
        <v>770</v>
      </c>
      <c r="M58" s="13" t="s">
        <v>771</v>
      </c>
      <c r="N58" s="13" t="s">
        <v>772</v>
      </c>
      <c r="O58" s="13" t="s">
        <v>773</v>
      </c>
      <c r="P58" s="13" t="s">
        <v>774</v>
      </c>
      <c r="Q58" s="13" t="s">
        <v>775</v>
      </c>
      <c r="R58" s="13" t="s">
        <v>776</v>
      </c>
      <c r="S58" s="18" t="s">
        <v>777</v>
      </c>
      <c r="T58" s="58" t="s">
        <v>778</v>
      </c>
      <c r="U58" s="56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</row>
    <row r="59" spans="1:44" ht="21" customHeight="1" x14ac:dyDescent="0.2">
      <c r="A59" s="1">
        <v>54</v>
      </c>
      <c r="B59" s="69"/>
      <c r="C59" s="69"/>
      <c r="D59" s="26" t="s">
        <v>187</v>
      </c>
      <c r="E59" s="27" t="s">
        <v>779</v>
      </c>
      <c r="F59" s="27" t="s">
        <v>232</v>
      </c>
      <c r="G59" s="13" t="s">
        <v>780</v>
      </c>
      <c r="H59" s="14" t="s">
        <v>336</v>
      </c>
      <c r="I59" s="17" t="s">
        <v>781</v>
      </c>
      <c r="J59" s="13" t="s">
        <v>25</v>
      </c>
      <c r="K59" s="13">
        <v>6</v>
      </c>
      <c r="L59" s="13" t="s">
        <v>782</v>
      </c>
      <c r="M59" s="13" t="s">
        <v>342</v>
      </c>
      <c r="N59" s="13" t="s">
        <v>343</v>
      </c>
      <c r="O59" s="13" t="s">
        <v>344</v>
      </c>
      <c r="P59" s="13" t="s">
        <v>346</v>
      </c>
      <c r="Q59" s="13" t="s">
        <v>348</v>
      </c>
      <c r="R59" s="13" t="s">
        <v>783</v>
      </c>
      <c r="S59" s="18" t="s">
        <v>75</v>
      </c>
      <c r="T59" s="58" t="s">
        <v>784</v>
      </c>
      <c r="U59" s="56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</row>
    <row r="60" spans="1:44" ht="21" customHeight="1" x14ac:dyDescent="0.2">
      <c r="A60" s="1">
        <v>55</v>
      </c>
      <c r="B60" s="69"/>
      <c r="C60" s="69"/>
      <c r="D60" s="29" t="s">
        <v>458</v>
      </c>
      <c r="E60" s="27" t="s">
        <v>785</v>
      </c>
      <c r="F60" s="27" t="s">
        <v>786</v>
      </c>
      <c r="G60" s="13" t="s">
        <v>787</v>
      </c>
      <c r="H60" s="14" t="s">
        <v>119</v>
      </c>
      <c r="I60" s="17" t="s">
        <v>120</v>
      </c>
      <c r="J60" s="13" t="s">
        <v>25</v>
      </c>
      <c r="K60" s="13">
        <v>6</v>
      </c>
      <c r="L60" s="13" t="s">
        <v>788</v>
      </c>
      <c r="M60" s="13" t="s">
        <v>123</v>
      </c>
      <c r="N60" s="13" t="s">
        <v>124</v>
      </c>
      <c r="O60" s="13" t="s">
        <v>125</v>
      </c>
      <c r="P60" s="13" t="s">
        <v>789</v>
      </c>
      <c r="Q60" s="13" t="s">
        <v>127</v>
      </c>
      <c r="R60" s="13" t="s">
        <v>790</v>
      </c>
      <c r="S60" s="18" t="s">
        <v>128</v>
      </c>
      <c r="T60" s="58" t="s">
        <v>129</v>
      </c>
      <c r="U60" s="56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</row>
    <row r="61" spans="1:44" ht="21" customHeight="1" x14ac:dyDescent="0.2">
      <c r="A61" s="1">
        <v>56</v>
      </c>
      <c r="B61" s="69"/>
      <c r="C61" s="69"/>
      <c r="D61" s="29" t="s">
        <v>792</v>
      </c>
      <c r="E61" s="27" t="s">
        <v>793</v>
      </c>
      <c r="F61" s="27" t="s">
        <v>794</v>
      </c>
      <c r="G61" s="13" t="s">
        <v>795</v>
      </c>
      <c r="H61" s="14" t="s">
        <v>336</v>
      </c>
      <c r="I61" s="17" t="s">
        <v>796</v>
      </c>
      <c r="J61" s="13" t="s">
        <v>25</v>
      </c>
      <c r="K61" s="13">
        <v>6</v>
      </c>
      <c r="L61" s="13" t="s">
        <v>797</v>
      </c>
      <c r="M61" s="13" t="s">
        <v>798</v>
      </c>
      <c r="N61" s="13" t="s">
        <v>799</v>
      </c>
      <c r="O61" s="13" t="s">
        <v>800</v>
      </c>
      <c r="P61" s="13" t="s">
        <v>801</v>
      </c>
      <c r="Q61" s="13" t="s">
        <v>802</v>
      </c>
      <c r="R61" s="13" t="s">
        <v>803</v>
      </c>
      <c r="S61" s="18" t="s">
        <v>128</v>
      </c>
      <c r="T61" s="58" t="s">
        <v>804</v>
      </c>
      <c r="U61" s="56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</row>
    <row r="62" spans="1:44" ht="21" customHeight="1" x14ac:dyDescent="0.2">
      <c r="A62" s="1">
        <v>57</v>
      </c>
      <c r="B62" s="69"/>
      <c r="C62" s="69"/>
      <c r="D62" s="26" t="s">
        <v>805</v>
      </c>
      <c r="E62" s="27" t="s">
        <v>806</v>
      </c>
      <c r="F62" s="27" t="s">
        <v>334</v>
      </c>
      <c r="G62" s="13" t="s">
        <v>807</v>
      </c>
      <c r="H62" s="14" t="s">
        <v>162</v>
      </c>
      <c r="I62" s="17" t="s">
        <v>700</v>
      </c>
      <c r="J62" s="13" t="s">
        <v>18</v>
      </c>
      <c r="K62" s="13">
        <v>6</v>
      </c>
      <c r="L62" s="13" t="s">
        <v>808</v>
      </c>
      <c r="M62" s="13" t="s">
        <v>702</v>
      </c>
      <c r="N62" s="13" t="s">
        <v>703</v>
      </c>
      <c r="O62" s="13" t="s">
        <v>704</v>
      </c>
      <c r="P62" s="13" t="s">
        <v>705</v>
      </c>
      <c r="Q62" s="13" t="s">
        <v>706</v>
      </c>
      <c r="R62" s="13"/>
      <c r="S62" s="18" t="s">
        <v>707</v>
      </c>
      <c r="T62" s="58" t="s">
        <v>708</v>
      </c>
      <c r="U62" s="56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</row>
    <row r="63" spans="1:44" ht="21" customHeight="1" x14ac:dyDescent="0.2">
      <c r="A63" s="1">
        <v>58</v>
      </c>
      <c r="B63" s="69"/>
      <c r="C63" s="69"/>
      <c r="D63" s="26" t="s">
        <v>809</v>
      </c>
      <c r="E63" s="27" t="s">
        <v>810</v>
      </c>
      <c r="F63" s="27" t="s">
        <v>811</v>
      </c>
      <c r="G63" s="13" t="s">
        <v>812</v>
      </c>
      <c r="H63" s="14" t="s">
        <v>813</v>
      </c>
      <c r="I63" s="17" t="s">
        <v>814</v>
      </c>
      <c r="J63" s="13" t="s">
        <v>25</v>
      </c>
      <c r="K63" s="13">
        <v>6</v>
      </c>
      <c r="L63" s="13" t="s">
        <v>815</v>
      </c>
      <c r="M63" s="13" t="s">
        <v>816</v>
      </c>
      <c r="N63" s="13" t="s">
        <v>617</v>
      </c>
      <c r="O63" s="13" t="s">
        <v>817</v>
      </c>
      <c r="P63" s="13" t="s">
        <v>818</v>
      </c>
      <c r="Q63" s="13" t="s">
        <v>819</v>
      </c>
      <c r="R63" s="13" t="s">
        <v>820</v>
      </c>
      <c r="S63" s="18" t="s">
        <v>821</v>
      </c>
      <c r="T63" s="58" t="s">
        <v>822</v>
      </c>
      <c r="U63" s="56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</row>
    <row r="64" spans="1:44" ht="21" customHeight="1" x14ac:dyDescent="0.2">
      <c r="A64" s="1">
        <v>59</v>
      </c>
      <c r="B64" s="71"/>
      <c r="C64" s="55"/>
      <c r="D64" s="26" t="s">
        <v>823</v>
      </c>
      <c r="E64" s="27" t="s">
        <v>824</v>
      </c>
      <c r="F64" s="27" t="s">
        <v>825</v>
      </c>
      <c r="G64" s="13" t="s">
        <v>827</v>
      </c>
      <c r="H64" s="14" t="s">
        <v>336</v>
      </c>
      <c r="I64" s="17" t="s">
        <v>829</v>
      </c>
      <c r="J64" s="13" t="s">
        <v>25</v>
      </c>
      <c r="K64" s="13">
        <v>6</v>
      </c>
      <c r="L64" s="13" t="s">
        <v>830</v>
      </c>
      <c r="M64" s="13" t="s">
        <v>831</v>
      </c>
      <c r="N64" s="13" t="s">
        <v>832</v>
      </c>
      <c r="O64" s="13" t="s">
        <v>833</v>
      </c>
      <c r="P64" s="13" t="s">
        <v>834</v>
      </c>
      <c r="Q64" s="13" t="s">
        <v>835</v>
      </c>
      <c r="R64" s="13" t="s">
        <v>836</v>
      </c>
      <c r="S64" s="18" t="s">
        <v>75</v>
      </c>
      <c r="T64" s="58" t="s">
        <v>837</v>
      </c>
      <c r="U64" s="56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</row>
    <row r="65" spans="1:44" ht="21" customHeight="1" x14ac:dyDescent="0.2">
      <c r="A65" s="1">
        <v>60</v>
      </c>
      <c r="B65" s="73" t="str">
        <f>"M7                      ("&amp;COUNTA(D65:D78)&amp;")"</f>
        <v>M7                      (14)</v>
      </c>
      <c r="C65" s="70" t="s">
        <v>838</v>
      </c>
      <c r="D65" s="27" t="s">
        <v>839</v>
      </c>
      <c r="E65" s="27" t="s">
        <v>840</v>
      </c>
      <c r="F65" s="27" t="s">
        <v>350</v>
      </c>
      <c r="G65" s="13" t="s">
        <v>841</v>
      </c>
      <c r="H65" s="14" t="s">
        <v>636</v>
      </c>
      <c r="I65" s="17" t="s">
        <v>842</v>
      </c>
      <c r="J65" s="13" t="s">
        <v>18</v>
      </c>
      <c r="K65" s="13">
        <v>7</v>
      </c>
      <c r="L65" s="13" t="s">
        <v>843</v>
      </c>
      <c r="M65" s="13" t="s">
        <v>844</v>
      </c>
      <c r="N65" s="13" t="s">
        <v>845</v>
      </c>
      <c r="O65" s="13" t="s">
        <v>846</v>
      </c>
      <c r="P65" s="13" t="s">
        <v>847</v>
      </c>
      <c r="Q65" s="13" t="s">
        <v>848</v>
      </c>
      <c r="R65" s="13" t="s">
        <v>849</v>
      </c>
      <c r="S65" s="18" t="s">
        <v>171</v>
      </c>
      <c r="T65" s="58" t="s">
        <v>1735</v>
      </c>
      <c r="U65" s="56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</row>
    <row r="66" spans="1:44" ht="21" customHeight="1" x14ac:dyDescent="0.2">
      <c r="A66" s="1">
        <v>61</v>
      </c>
      <c r="B66" s="69"/>
      <c r="C66" s="69"/>
      <c r="D66" s="26" t="s">
        <v>314</v>
      </c>
      <c r="E66" s="27" t="s">
        <v>850</v>
      </c>
      <c r="F66" s="27" t="s">
        <v>851</v>
      </c>
      <c r="G66" s="13" t="s">
        <v>852</v>
      </c>
      <c r="H66" s="14" t="s">
        <v>323</v>
      </c>
      <c r="I66" s="17" t="s">
        <v>324</v>
      </c>
      <c r="J66" s="13" t="s">
        <v>18</v>
      </c>
      <c r="K66" s="13">
        <v>7</v>
      </c>
      <c r="L66" s="13" t="s">
        <v>853</v>
      </c>
      <c r="M66" s="13" t="s">
        <v>327</v>
      </c>
      <c r="N66" s="13" t="s">
        <v>328</v>
      </c>
      <c r="O66" s="13" t="s">
        <v>329</v>
      </c>
      <c r="P66" s="13" t="s">
        <v>330</v>
      </c>
      <c r="Q66" s="13" t="s">
        <v>331</v>
      </c>
      <c r="R66" s="13" t="s">
        <v>854</v>
      </c>
      <c r="S66" s="18" t="s">
        <v>332</v>
      </c>
      <c r="T66" s="58" t="s">
        <v>333</v>
      </c>
      <c r="U66" s="56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</row>
    <row r="67" spans="1:44" ht="21" customHeight="1" x14ac:dyDescent="0.2">
      <c r="A67" s="1">
        <v>62</v>
      </c>
      <c r="B67" s="69"/>
      <c r="C67" s="69"/>
      <c r="D67" s="26" t="s">
        <v>363</v>
      </c>
      <c r="E67" s="27" t="s">
        <v>855</v>
      </c>
      <c r="F67" s="27" t="s">
        <v>856</v>
      </c>
      <c r="G67" s="13" t="s">
        <v>857</v>
      </c>
      <c r="H67" s="14" t="s">
        <v>542</v>
      </c>
      <c r="I67" s="17" t="s">
        <v>543</v>
      </c>
      <c r="J67" s="13" t="s">
        <v>25</v>
      </c>
      <c r="K67" s="13">
        <v>7</v>
      </c>
      <c r="L67" s="13" t="s">
        <v>858</v>
      </c>
      <c r="M67" s="13" t="s">
        <v>545</v>
      </c>
      <c r="N67" s="13" t="s">
        <v>546</v>
      </c>
      <c r="O67" s="13" t="s">
        <v>547</v>
      </c>
      <c r="P67" s="13" t="s">
        <v>548</v>
      </c>
      <c r="Q67" s="13" t="s">
        <v>549</v>
      </c>
      <c r="R67" s="13" t="s">
        <v>548</v>
      </c>
      <c r="S67" s="18" t="s">
        <v>525</v>
      </c>
      <c r="T67" s="58" t="s">
        <v>550</v>
      </c>
      <c r="U67" s="56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</row>
    <row r="68" spans="1:44" ht="21" customHeight="1" x14ac:dyDescent="0.2">
      <c r="A68" s="1">
        <v>63</v>
      </c>
      <c r="B68" s="69"/>
      <c r="C68" s="69"/>
      <c r="D68" s="26" t="s">
        <v>392</v>
      </c>
      <c r="E68" s="27" t="s">
        <v>860</v>
      </c>
      <c r="F68" s="27" t="s">
        <v>361</v>
      </c>
      <c r="G68" s="13" t="s">
        <v>861</v>
      </c>
      <c r="H68" s="14" t="s">
        <v>862</v>
      </c>
      <c r="I68" s="17" t="s">
        <v>863</v>
      </c>
      <c r="J68" s="13" t="s">
        <v>25</v>
      </c>
      <c r="K68" s="13">
        <v>7</v>
      </c>
      <c r="L68" s="13" t="s">
        <v>864</v>
      </c>
      <c r="M68" s="13" t="s">
        <v>865</v>
      </c>
      <c r="N68" s="13" t="s">
        <v>866</v>
      </c>
      <c r="O68" s="13" t="s">
        <v>867</v>
      </c>
      <c r="P68" s="13" t="s">
        <v>868</v>
      </c>
      <c r="Q68" s="13" t="s">
        <v>869</v>
      </c>
      <c r="R68" s="13" t="s">
        <v>870</v>
      </c>
      <c r="S68" s="18" t="s">
        <v>525</v>
      </c>
      <c r="T68" s="58" t="s">
        <v>550</v>
      </c>
      <c r="U68" s="56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</row>
    <row r="69" spans="1:44" ht="21" customHeight="1" x14ac:dyDescent="0.2">
      <c r="A69" s="1">
        <v>64</v>
      </c>
      <c r="B69" s="69"/>
      <c r="C69" s="69"/>
      <c r="D69" s="26" t="s">
        <v>470</v>
      </c>
      <c r="E69" s="27" t="s">
        <v>871</v>
      </c>
      <c r="F69" s="27" t="s">
        <v>872</v>
      </c>
      <c r="G69" s="13" t="s">
        <v>873</v>
      </c>
      <c r="H69" s="14" t="s">
        <v>162</v>
      </c>
      <c r="I69" s="17" t="s">
        <v>205</v>
      </c>
      <c r="J69" s="13" t="s">
        <v>18</v>
      </c>
      <c r="K69" s="13">
        <v>7</v>
      </c>
      <c r="L69" s="13" t="s">
        <v>874</v>
      </c>
      <c r="M69" s="13" t="s">
        <v>207</v>
      </c>
      <c r="N69" s="13" t="s">
        <v>208</v>
      </c>
      <c r="O69" s="13" t="s">
        <v>209</v>
      </c>
      <c r="P69" s="13" t="s">
        <v>211</v>
      </c>
      <c r="Q69" s="13" t="s">
        <v>212</v>
      </c>
      <c r="R69" s="13" t="s">
        <v>875</v>
      </c>
      <c r="S69" s="18" t="s">
        <v>525</v>
      </c>
      <c r="T69" s="58" t="s">
        <v>876</v>
      </c>
      <c r="U69" s="56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</row>
    <row r="70" spans="1:44" ht="21" customHeight="1" x14ac:dyDescent="0.2">
      <c r="A70" s="1">
        <v>65</v>
      </c>
      <c r="B70" s="69"/>
      <c r="C70" s="69"/>
      <c r="D70" s="26" t="s">
        <v>877</v>
      </c>
      <c r="E70" s="27" t="s">
        <v>878</v>
      </c>
      <c r="F70" s="27" t="s">
        <v>879</v>
      </c>
      <c r="G70" s="13" t="s">
        <v>880</v>
      </c>
      <c r="H70" s="14" t="s">
        <v>881</v>
      </c>
      <c r="I70" s="17" t="s">
        <v>882</v>
      </c>
      <c r="J70" s="13" t="s">
        <v>18</v>
      </c>
      <c r="K70" s="13">
        <v>7</v>
      </c>
      <c r="L70" s="13" t="s">
        <v>883</v>
      </c>
      <c r="M70" s="13" t="s">
        <v>884</v>
      </c>
      <c r="N70" s="13" t="s">
        <v>885</v>
      </c>
      <c r="O70" s="13" t="s">
        <v>886</v>
      </c>
      <c r="P70" s="13" t="s">
        <v>887</v>
      </c>
      <c r="Q70" s="13" t="s">
        <v>888</v>
      </c>
      <c r="R70" s="13" t="s">
        <v>889</v>
      </c>
      <c r="S70" s="18" t="s">
        <v>483</v>
      </c>
      <c r="T70" s="58" t="s">
        <v>890</v>
      </c>
      <c r="U70" s="56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</row>
    <row r="71" spans="1:44" ht="21" customHeight="1" x14ac:dyDescent="0.2">
      <c r="A71" s="1">
        <v>66</v>
      </c>
      <c r="B71" s="69"/>
      <c r="C71" s="69"/>
      <c r="D71" s="26" t="s">
        <v>425</v>
      </c>
      <c r="E71" s="27" t="s">
        <v>891</v>
      </c>
      <c r="F71" s="27" t="s">
        <v>892</v>
      </c>
      <c r="G71" s="13" t="s">
        <v>893</v>
      </c>
      <c r="H71" s="14" t="s">
        <v>894</v>
      </c>
      <c r="I71" s="17" t="s">
        <v>895</v>
      </c>
      <c r="J71" s="13" t="s">
        <v>18</v>
      </c>
      <c r="K71" s="13">
        <v>7</v>
      </c>
      <c r="L71" s="13" t="s">
        <v>896</v>
      </c>
      <c r="M71" s="13" t="s">
        <v>897</v>
      </c>
      <c r="N71" s="13" t="s">
        <v>898</v>
      </c>
      <c r="O71" s="43" t="s">
        <v>899</v>
      </c>
      <c r="P71" s="13" t="s">
        <v>900</v>
      </c>
      <c r="Q71" s="13" t="s">
        <v>901</v>
      </c>
      <c r="R71" s="13" t="s">
        <v>902</v>
      </c>
      <c r="S71" s="18" t="s">
        <v>483</v>
      </c>
      <c r="T71" s="58" t="s">
        <v>903</v>
      </c>
      <c r="U71" s="56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</row>
    <row r="72" spans="1:44" ht="21" customHeight="1" x14ac:dyDescent="0.2">
      <c r="A72" s="1">
        <v>67</v>
      </c>
      <c r="B72" s="69"/>
      <c r="C72" s="69"/>
      <c r="D72" s="26" t="s">
        <v>254</v>
      </c>
      <c r="E72" s="27" t="s">
        <v>904</v>
      </c>
      <c r="F72" s="27" t="s">
        <v>232</v>
      </c>
      <c r="G72" s="13" t="s">
        <v>905</v>
      </c>
      <c r="H72" s="14" t="s">
        <v>894</v>
      </c>
      <c r="I72" s="17" t="s">
        <v>906</v>
      </c>
      <c r="J72" s="13" t="s">
        <v>25</v>
      </c>
      <c r="K72" s="13">
        <v>7</v>
      </c>
      <c r="L72" s="13" t="s">
        <v>907</v>
      </c>
      <c r="M72" s="13" t="s">
        <v>908</v>
      </c>
      <c r="N72" s="13" t="s">
        <v>909</v>
      </c>
      <c r="O72" s="13" t="s">
        <v>910</v>
      </c>
      <c r="P72" s="13" t="s">
        <v>911</v>
      </c>
      <c r="Q72" s="13" t="s">
        <v>912</v>
      </c>
      <c r="R72" s="13" t="s">
        <v>913</v>
      </c>
      <c r="S72" s="18" t="s">
        <v>914</v>
      </c>
      <c r="T72" s="58" t="s">
        <v>915</v>
      </c>
      <c r="U72" s="56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</row>
    <row r="73" spans="1:44" ht="21" customHeight="1" x14ac:dyDescent="0.2">
      <c r="A73" s="1">
        <v>68</v>
      </c>
      <c r="B73" s="69"/>
      <c r="C73" s="69"/>
      <c r="D73" s="26" t="s">
        <v>916</v>
      </c>
      <c r="E73" s="27" t="s">
        <v>917</v>
      </c>
      <c r="F73" s="27" t="s">
        <v>918</v>
      </c>
      <c r="G73" s="13" t="s">
        <v>919</v>
      </c>
      <c r="H73" s="14" t="s">
        <v>259</v>
      </c>
      <c r="I73" s="17" t="s">
        <v>920</v>
      </c>
      <c r="J73" s="13" t="s">
        <v>25</v>
      </c>
      <c r="K73" s="13">
        <v>7</v>
      </c>
      <c r="L73" s="13" t="s">
        <v>921</v>
      </c>
      <c r="M73" s="13" t="s">
        <v>922</v>
      </c>
      <c r="N73" s="13" t="s">
        <v>923</v>
      </c>
      <c r="O73" s="13" t="s">
        <v>924</v>
      </c>
      <c r="P73" s="13" t="s">
        <v>925</v>
      </c>
      <c r="Q73" s="13" t="s">
        <v>926</v>
      </c>
      <c r="R73" s="13" t="s">
        <v>927</v>
      </c>
      <c r="S73" s="18" t="s">
        <v>128</v>
      </c>
      <c r="T73" s="58" t="s">
        <v>928</v>
      </c>
      <c r="U73" s="56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</row>
    <row r="74" spans="1:44" ht="21" customHeight="1" x14ac:dyDescent="0.2">
      <c r="A74" s="1">
        <v>69</v>
      </c>
      <c r="B74" s="69"/>
      <c r="C74" s="69"/>
      <c r="D74" s="26" t="s">
        <v>929</v>
      </c>
      <c r="E74" s="27" t="s">
        <v>930</v>
      </c>
      <c r="F74" s="27" t="s">
        <v>931</v>
      </c>
      <c r="G74" s="13" t="s">
        <v>932</v>
      </c>
      <c r="H74" s="14" t="s">
        <v>39</v>
      </c>
      <c r="I74" s="17" t="s">
        <v>933</v>
      </c>
      <c r="J74" s="13" t="s">
        <v>18</v>
      </c>
      <c r="K74" s="13">
        <v>7</v>
      </c>
      <c r="L74" s="13" t="s">
        <v>934</v>
      </c>
      <c r="M74" s="13" t="s">
        <v>935</v>
      </c>
      <c r="N74" s="13" t="s">
        <v>936</v>
      </c>
      <c r="O74" s="13" t="s">
        <v>937</v>
      </c>
      <c r="P74" s="13" t="s">
        <v>938</v>
      </c>
      <c r="Q74" s="13" t="s">
        <v>939</v>
      </c>
      <c r="R74" s="13" t="s">
        <v>940</v>
      </c>
      <c r="S74" s="18" t="s">
        <v>128</v>
      </c>
      <c r="T74" s="58" t="s">
        <v>941</v>
      </c>
      <c r="U74" s="56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</row>
    <row r="75" spans="1:44" ht="21" customHeight="1" x14ac:dyDescent="0.2">
      <c r="A75" s="1">
        <v>70</v>
      </c>
      <c r="B75" s="69"/>
      <c r="C75" s="69"/>
      <c r="D75" s="26" t="s">
        <v>464</v>
      </c>
      <c r="E75" s="27" t="s">
        <v>942</v>
      </c>
      <c r="F75" s="27" t="s">
        <v>350</v>
      </c>
      <c r="G75" s="13" t="s">
        <v>943</v>
      </c>
      <c r="H75" s="14" t="s">
        <v>430</v>
      </c>
      <c r="I75" s="17" t="s">
        <v>431</v>
      </c>
      <c r="J75" s="13" t="s">
        <v>18</v>
      </c>
      <c r="K75" s="13">
        <v>7</v>
      </c>
      <c r="L75" s="13" t="s">
        <v>770</v>
      </c>
      <c r="M75" s="13" t="s">
        <v>433</v>
      </c>
      <c r="N75" s="13" t="s">
        <v>434</v>
      </c>
      <c r="O75" s="13" t="s">
        <v>435</v>
      </c>
      <c r="P75" s="13" t="s">
        <v>436</v>
      </c>
      <c r="Q75" s="13" t="s">
        <v>437</v>
      </c>
      <c r="R75" s="13" t="s">
        <v>944</v>
      </c>
      <c r="S75" s="18" t="s">
        <v>128</v>
      </c>
      <c r="T75" s="58" t="s">
        <v>438</v>
      </c>
      <c r="U75" s="56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</row>
    <row r="76" spans="1:44" ht="21" customHeight="1" x14ac:dyDescent="0.2">
      <c r="A76" s="1">
        <v>71</v>
      </c>
      <c r="B76" s="69"/>
      <c r="C76" s="69"/>
      <c r="D76" s="26" t="s">
        <v>945</v>
      </c>
      <c r="E76" s="27" t="s">
        <v>946</v>
      </c>
      <c r="F76" s="27" t="s">
        <v>673</v>
      </c>
      <c r="G76" s="13" t="s">
        <v>947</v>
      </c>
      <c r="H76" s="14" t="s">
        <v>737</v>
      </c>
      <c r="I76" s="17" t="s">
        <v>948</v>
      </c>
      <c r="J76" s="13" t="s">
        <v>25</v>
      </c>
      <c r="K76" s="13">
        <v>7</v>
      </c>
      <c r="L76" s="13" t="s">
        <v>949</v>
      </c>
      <c r="M76" s="13" t="s">
        <v>738</v>
      </c>
      <c r="N76" s="13" t="s">
        <v>739</v>
      </c>
      <c r="O76" s="13" t="s">
        <v>950</v>
      </c>
      <c r="P76" s="13" t="s">
        <v>740</v>
      </c>
      <c r="Q76" s="13" t="s">
        <v>741</v>
      </c>
      <c r="R76" s="13" t="s">
        <v>951</v>
      </c>
      <c r="S76" s="18" t="s">
        <v>128</v>
      </c>
      <c r="T76" s="58" t="s">
        <v>952</v>
      </c>
      <c r="U76" s="56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</row>
    <row r="77" spans="1:44" ht="21" customHeight="1" x14ac:dyDescent="0.2">
      <c r="A77" s="1">
        <v>72</v>
      </c>
      <c r="B77" s="69"/>
      <c r="C77" s="69"/>
      <c r="D77" s="29" t="s">
        <v>953</v>
      </c>
      <c r="E77" s="26" t="s">
        <v>954</v>
      </c>
      <c r="F77" s="26" t="s">
        <v>955</v>
      </c>
      <c r="G77" s="23" t="s">
        <v>956</v>
      </c>
      <c r="H77" s="30" t="s">
        <v>957</v>
      </c>
      <c r="I77" s="23" t="s">
        <v>958</v>
      </c>
      <c r="J77" s="23" t="s">
        <v>25</v>
      </c>
      <c r="K77" s="23">
        <v>7</v>
      </c>
      <c r="L77" s="23" t="s">
        <v>959</v>
      </c>
      <c r="M77" s="23" t="s">
        <v>960</v>
      </c>
      <c r="N77" s="23" t="s">
        <v>961</v>
      </c>
      <c r="O77" s="23" t="s">
        <v>962</v>
      </c>
      <c r="P77" s="23" t="s">
        <v>963</v>
      </c>
      <c r="Q77" s="23" t="s">
        <v>964</v>
      </c>
      <c r="R77" s="44"/>
      <c r="S77" s="31" t="s">
        <v>142</v>
      </c>
      <c r="T77" s="64" t="s">
        <v>965</v>
      </c>
      <c r="U77" s="56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</row>
    <row r="78" spans="1:44" ht="21" customHeight="1" x14ac:dyDescent="0.2">
      <c r="A78" s="1">
        <v>73</v>
      </c>
      <c r="B78" s="55"/>
      <c r="C78" s="55"/>
      <c r="D78" s="26" t="s">
        <v>966</v>
      </c>
      <c r="E78" s="27" t="s">
        <v>967</v>
      </c>
      <c r="F78" s="27" t="s">
        <v>968</v>
      </c>
      <c r="G78" s="13" t="s">
        <v>969</v>
      </c>
      <c r="H78" s="14" t="s">
        <v>45</v>
      </c>
      <c r="I78" s="17" t="s">
        <v>970</v>
      </c>
      <c r="J78" s="13" t="s">
        <v>25</v>
      </c>
      <c r="K78" s="13">
        <v>7</v>
      </c>
      <c r="L78" s="13" t="s">
        <v>971</v>
      </c>
      <c r="M78" s="13" t="s">
        <v>972</v>
      </c>
      <c r="N78" s="13" t="s">
        <v>973</v>
      </c>
      <c r="O78" s="13" t="s">
        <v>974</v>
      </c>
      <c r="P78" s="13" t="s">
        <v>975</v>
      </c>
      <c r="Q78" s="13" t="s">
        <v>976</v>
      </c>
      <c r="R78" s="13" t="s">
        <v>977</v>
      </c>
      <c r="S78" s="18" t="s">
        <v>632</v>
      </c>
      <c r="T78" s="58" t="s">
        <v>978</v>
      </c>
      <c r="U78" s="56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</row>
    <row r="79" spans="1:44" ht="21" customHeight="1" x14ac:dyDescent="0.2">
      <c r="A79" s="1">
        <v>74</v>
      </c>
      <c r="B79" s="74" t="str">
        <f>"M8                 ("&amp;COUNTA(D79:D92)&amp;")"</f>
        <v>M8                 (14)</v>
      </c>
      <c r="C79" s="72" t="s">
        <v>980</v>
      </c>
      <c r="D79" s="27" t="s">
        <v>981</v>
      </c>
      <c r="E79" s="27" t="s">
        <v>982</v>
      </c>
      <c r="F79" s="27" t="s">
        <v>983</v>
      </c>
      <c r="G79" s="13" t="s">
        <v>984</v>
      </c>
      <c r="H79" s="14" t="s">
        <v>340</v>
      </c>
      <c r="I79" s="17" t="s">
        <v>985</v>
      </c>
      <c r="J79" s="13" t="s">
        <v>25</v>
      </c>
      <c r="K79" s="13">
        <v>8</v>
      </c>
      <c r="L79" s="13" t="s">
        <v>986</v>
      </c>
      <c r="M79" s="13" t="s">
        <v>987</v>
      </c>
      <c r="N79" s="13" t="s">
        <v>988</v>
      </c>
      <c r="O79" s="13" t="s">
        <v>989</v>
      </c>
      <c r="P79" s="13" t="s">
        <v>990</v>
      </c>
      <c r="Q79" s="13" t="s">
        <v>991</v>
      </c>
      <c r="R79" s="13" t="s">
        <v>992</v>
      </c>
      <c r="S79" s="18" t="s">
        <v>41</v>
      </c>
      <c r="T79" s="58" t="s">
        <v>993</v>
      </c>
      <c r="U79" s="56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</row>
    <row r="80" spans="1:44" ht="21" customHeight="1" x14ac:dyDescent="0.2">
      <c r="A80" s="1">
        <v>75</v>
      </c>
      <c r="B80" s="69"/>
      <c r="C80" s="69"/>
      <c r="D80" s="27" t="s">
        <v>995</v>
      </c>
      <c r="E80" s="27" t="s">
        <v>996</v>
      </c>
      <c r="F80" s="27" t="s">
        <v>997</v>
      </c>
      <c r="G80" s="13" t="s">
        <v>998</v>
      </c>
      <c r="H80" s="14" t="s">
        <v>999</v>
      </c>
      <c r="I80" s="17" t="s">
        <v>1000</v>
      </c>
      <c r="J80" s="13" t="s">
        <v>25</v>
      </c>
      <c r="K80" s="13">
        <v>8</v>
      </c>
      <c r="L80" s="13" t="s">
        <v>1001</v>
      </c>
      <c r="M80" s="13" t="s">
        <v>1002</v>
      </c>
      <c r="N80" s="13" t="s">
        <v>1003</v>
      </c>
      <c r="O80" s="13" t="s">
        <v>1004</v>
      </c>
      <c r="P80" s="13" t="s">
        <v>1005</v>
      </c>
      <c r="Q80" s="13" t="s">
        <v>1006</v>
      </c>
      <c r="R80" s="13" t="s">
        <v>1007</v>
      </c>
      <c r="S80" s="18" t="s">
        <v>587</v>
      </c>
      <c r="T80" s="58" t="s">
        <v>589</v>
      </c>
      <c r="U80" s="56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</row>
    <row r="81" spans="1:44" ht="21" customHeight="1" x14ac:dyDescent="0.2">
      <c r="A81" s="1">
        <v>76</v>
      </c>
      <c r="B81" s="69"/>
      <c r="C81" s="69"/>
      <c r="D81" s="26" t="s">
        <v>305</v>
      </c>
      <c r="E81" s="27" t="s">
        <v>1008</v>
      </c>
      <c r="F81" s="27" t="s">
        <v>794</v>
      </c>
      <c r="G81" s="13" t="s">
        <v>1009</v>
      </c>
      <c r="H81" s="14" t="s">
        <v>1010</v>
      </c>
      <c r="I81" s="17" t="s">
        <v>1011</v>
      </c>
      <c r="J81" s="13" t="s">
        <v>18</v>
      </c>
      <c r="K81" s="13">
        <v>8</v>
      </c>
      <c r="L81" s="13" t="s">
        <v>1012</v>
      </c>
      <c r="M81" s="13" t="s">
        <v>1013</v>
      </c>
      <c r="N81" s="13" t="s">
        <v>1014</v>
      </c>
      <c r="O81" s="13" t="s">
        <v>1015</v>
      </c>
      <c r="P81" s="13" t="s">
        <v>1016</v>
      </c>
      <c r="Q81" s="13" t="s">
        <v>1017</v>
      </c>
      <c r="R81" s="13" t="s">
        <v>1018</v>
      </c>
      <c r="S81" s="18" t="s">
        <v>1019</v>
      </c>
      <c r="T81" s="58" t="s">
        <v>1020</v>
      </c>
      <c r="U81" s="56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</row>
    <row r="82" spans="1:44" ht="21" customHeight="1" x14ac:dyDescent="0.2">
      <c r="A82" s="1">
        <v>77</v>
      </c>
      <c r="B82" s="69"/>
      <c r="C82" s="69"/>
      <c r="D82" s="26" t="s">
        <v>1022</v>
      </c>
      <c r="E82" s="27" t="s">
        <v>1023</v>
      </c>
      <c r="F82" s="27" t="s">
        <v>1024</v>
      </c>
      <c r="G82" s="13" t="s">
        <v>1025</v>
      </c>
      <c r="H82" s="14" t="s">
        <v>1026</v>
      </c>
      <c r="I82" s="17" t="s">
        <v>1027</v>
      </c>
      <c r="J82" s="13" t="s">
        <v>18</v>
      </c>
      <c r="K82" s="13">
        <v>8</v>
      </c>
      <c r="L82" s="13" t="s">
        <v>1028</v>
      </c>
      <c r="M82" s="13" t="s">
        <v>1029</v>
      </c>
      <c r="N82" s="13" t="s">
        <v>1030</v>
      </c>
      <c r="O82" s="13" t="s">
        <v>1031</v>
      </c>
      <c r="P82" s="13" t="s">
        <v>1032</v>
      </c>
      <c r="Q82" s="13" t="s">
        <v>1033</v>
      </c>
      <c r="R82" s="13" t="s">
        <v>1034</v>
      </c>
      <c r="S82" s="18" t="s">
        <v>483</v>
      </c>
      <c r="T82" s="58" t="s">
        <v>1035</v>
      </c>
      <c r="U82" s="56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</row>
    <row r="83" spans="1:44" ht="21" customHeight="1" x14ac:dyDescent="0.2">
      <c r="A83" s="1">
        <v>78</v>
      </c>
      <c r="B83" s="69"/>
      <c r="C83" s="69"/>
      <c r="D83" s="26" t="s">
        <v>424</v>
      </c>
      <c r="E83" s="27" t="s">
        <v>1036</v>
      </c>
      <c r="F83" s="27" t="s">
        <v>1037</v>
      </c>
      <c r="G83" s="13" t="s">
        <v>1038</v>
      </c>
      <c r="H83" s="14" t="s">
        <v>894</v>
      </c>
      <c r="I83" s="17" t="s">
        <v>895</v>
      </c>
      <c r="J83" s="13" t="s">
        <v>25</v>
      </c>
      <c r="K83" s="13">
        <v>8</v>
      </c>
      <c r="L83" s="13" t="s">
        <v>1039</v>
      </c>
      <c r="M83" s="13" t="s">
        <v>897</v>
      </c>
      <c r="N83" s="13" t="s">
        <v>898</v>
      </c>
      <c r="O83" s="43" t="s">
        <v>1040</v>
      </c>
      <c r="P83" s="13" t="s">
        <v>900</v>
      </c>
      <c r="Q83" s="13" t="s">
        <v>901</v>
      </c>
      <c r="R83" s="13" t="s">
        <v>1041</v>
      </c>
      <c r="S83" s="18" t="s">
        <v>483</v>
      </c>
      <c r="T83" s="58" t="s">
        <v>903</v>
      </c>
      <c r="U83" s="56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</row>
    <row r="84" spans="1:44" ht="21" customHeight="1" x14ac:dyDescent="0.2">
      <c r="A84" s="1">
        <v>79</v>
      </c>
      <c r="B84" s="69"/>
      <c r="C84" s="69"/>
      <c r="D84" s="29" t="s">
        <v>405</v>
      </c>
      <c r="E84" s="27" t="s">
        <v>1042</v>
      </c>
      <c r="F84" s="27" t="s">
        <v>859</v>
      </c>
      <c r="G84" s="13" t="s">
        <v>1043</v>
      </c>
      <c r="H84" s="14" t="s">
        <v>318</v>
      </c>
      <c r="I84" s="17" t="s">
        <v>677</v>
      </c>
      <c r="J84" s="13" t="s">
        <v>25</v>
      </c>
      <c r="K84" s="13">
        <v>8</v>
      </c>
      <c r="L84" s="13" t="s">
        <v>1044</v>
      </c>
      <c r="M84" s="13" t="s">
        <v>679</v>
      </c>
      <c r="N84" s="13" t="s">
        <v>680</v>
      </c>
      <c r="O84" s="13" t="s">
        <v>681</v>
      </c>
      <c r="P84" s="13" t="s">
        <v>682</v>
      </c>
      <c r="Q84" s="13" t="s">
        <v>683</v>
      </c>
      <c r="R84" s="13" t="s">
        <v>1045</v>
      </c>
      <c r="S84" s="18" t="s">
        <v>525</v>
      </c>
      <c r="T84" s="58" t="s">
        <v>1046</v>
      </c>
      <c r="U84" s="56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</row>
    <row r="85" spans="1:44" ht="21" customHeight="1" x14ac:dyDescent="0.2">
      <c r="A85" s="1">
        <v>80</v>
      </c>
      <c r="B85" s="69"/>
      <c r="C85" s="69"/>
      <c r="D85" s="29" t="s">
        <v>1047</v>
      </c>
      <c r="E85" s="27" t="s">
        <v>1048</v>
      </c>
      <c r="F85" s="27" t="s">
        <v>1049</v>
      </c>
      <c r="G85" s="13" t="s">
        <v>1050</v>
      </c>
      <c r="H85" s="14" t="s">
        <v>1051</v>
      </c>
      <c r="I85" s="17" t="s">
        <v>1052</v>
      </c>
      <c r="J85" s="13" t="s">
        <v>25</v>
      </c>
      <c r="K85" s="13">
        <v>8</v>
      </c>
      <c r="L85" s="13" t="s">
        <v>1053</v>
      </c>
      <c r="M85" s="13" t="s">
        <v>1054</v>
      </c>
      <c r="N85" s="13" t="s">
        <v>1055</v>
      </c>
      <c r="O85" s="13" t="s">
        <v>1056</v>
      </c>
      <c r="P85" s="13" t="s">
        <v>1057</v>
      </c>
      <c r="Q85" s="13" t="s">
        <v>1058</v>
      </c>
      <c r="R85" s="13" t="s">
        <v>1059</v>
      </c>
      <c r="S85" s="18" t="s">
        <v>75</v>
      </c>
      <c r="T85" s="58" t="s">
        <v>1060</v>
      </c>
      <c r="U85" s="56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</row>
    <row r="86" spans="1:44" ht="21" customHeight="1" x14ac:dyDescent="0.2">
      <c r="A86" s="1">
        <v>81</v>
      </c>
      <c r="B86" s="69"/>
      <c r="C86" s="69"/>
      <c r="D86" s="29" t="s">
        <v>1061</v>
      </c>
      <c r="E86" s="27" t="s">
        <v>1062</v>
      </c>
      <c r="F86" s="27" t="s">
        <v>1063</v>
      </c>
      <c r="G86" s="13" t="s">
        <v>1064</v>
      </c>
      <c r="H86" s="14" t="s">
        <v>1065</v>
      </c>
      <c r="I86" s="17" t="s">
        <v>1066</v>
      </c>
      <c r="J86" s="13" t="s">
        <v>25</v>
      </c>
      <c r="K86" s="13">
        <v>8</v>
      </c>
      <c r="L86" s="13" t="s">
        <v>1067</v>
      </c>
      <c r="M86" s="13" t="s">
        <v>1068</v>
      </c>
      <c r="N86" s="13" t="s">
        <v>1069</v>
      </c>
      <c r="O86" s="13" t="s">
        <v>1070</v>
      </c>
      <c r="P86" s="13" t="s">
        <v>1071</v>
      </c>
      <c r="Q86" s="13" t="s">
        <v>1072</v>
      </c>
      <c r="R86" s="13" t="s">
        <v>1073</v>
      </c>
      <c r="S86" s="18" t="s">
        <v>75</v>
      </c>
      <c r="T86" s="58" t="s">
        <v>1074</v>
      </c>
      <c r="U86" s="56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</row>
    <row r="87" spans="1:44" ht="21" customHeight="1" x14ac:dyDescent="0.2">
      <c r="A87" s="1">
        <v>82</v>
      </c>
      <c r="B87" s="69"/>
      <c r="C87" s="69"/>
      <c r="D87" s="26" t="s">
        <v>1075</v>
      </c>
      <c r="E87" s="27" t="s">
        <v>1076</v>
      </c>
      <c r="F87" s="27" t="s">
        <v>1077</v>
      </c>
      <c r="G87" s="13" t="s">
        <v>1078</v>
      </c>
      <c r="H87" s="14" t="s">
        <v>1079</v>
      </c>
      <c r="I87" s="17" t="s">
        <v>1080</v>
      </c>
      <c r="J87" s="13" t="s">
        <v>18</v>
      </c>
      <c r="K87" s="13">
        <v>8</v>
      </c>
      <c r="L87" s="13" t="s">
        <v>1081</v>
      </c>
      <c r="M87" s="13" t="s">
        <v>1082</v>
      </c>
      <c r="N87" s="13" t="s">
        <v>1083</v>
      </c>
      <c r="O87" s="13" t="s">
        <v>1084</v>
      </c>
      <c r="P87" s="13" t="s">
        <v>1085</v>
      </c>
      <c r="Q87" s="13" t="s">
        <v>1086</v>
      </c>
      <c r="R87" s="13" t="s">
        <v>1087</v>
      </c>
      <c r="S87" s="18" t="s">
        <v>128</v>
      </c>
      <c r="T87" s="58" t="s">
        <v>1088</v>
      </c>
      <c r="U87" s="56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</row>
    <row r="88" spans="1:44" ht="21" customHeight="1" x14ac:dyDescent="0.2">
      <c r="A88" s="1">
        <v>83</v>
      </c>
      <c r="B88" s="69"/>
      <c r="C88" s="69"/>
      <c r="D88" s="29" t="s">
        <v>456</v>
      </c>
      <c r="E88" s="27" t="s">
        <v>1089</v>
      </c>
      <c r="F88" s="27" t="s">
        <v>826</v>
      </c>
      <c r="G88" s="13" t="s">
        <v>1090</v>
      </c>
      <c r="H88" s="14" t="s">
        <v>162</v>
      </c>
      <c r="I88" s="17" t="s">
        <v>700</v>
      </c>
      <c r="J88" s="13" t="s">
        <v>18</v>
      </c>
      <c r="K88" s="13">
        <v>8</v>
      </c>
      <c r="L88" s="13" t="s">
        <v>1091</v>
      </c>
      <c r="M88" s="13" t="s">
        <v>702</v>
      </c>
      <c r="N88" s="13" t="s">
        <v>703</v>
      </c>
      <c r="O88" s="13" t="s">
        <v>704</v>
      </c>
      <c r="P88" s="13" t="s">
        <v>705</v>
      </c>
      <c r="Q88" s="13" t="s">
        <v>706</v>
      </c>
      <c r="R88" s="38" t="s">
        <v>1092</v>
      </c>
      <c r="S88" s="18" t="s">
        <v>707</v>
      </c>
      <c r="T88" s="58" t="s">
        <v>708</v>
      </c>
      <c r="U88" s="56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</row>
    <row r="89" spans="1:44" ht="21" customHeight="1" x14ac:dyDescent="0.2">
      <c r="A89" s="1">
        <v>84</v>
      </c>
      <c r="B89" s="69"/>
      <c r="C89" s="69"/>
      <c r="D89" s="26" t="s">
        <v>248</v>
      </c>
      <c r="E89" s="26" t="s">
        <v>1093</v>
      </c>
      <c r="F89" s="26" t="s">
        <v>1094</v>
      </c>
      <c r="G89" s="23" t="s">
        <v>1095</v>
      </c>
      <c r="H89" s="30" t="s">
        <v>1096</v>
      </c>
      <c r="I89" s="46" t="s">
        <v>1097</v>
      </c>
      <c r="J89" s="23" t="s">
        <v>25</v>
      </c>
      <c r="K89" s="23">
        <v>8</v>
      </c>
      <c r="L89" s="23" t="s">
        <v>1098</v>
      </c>
      <c r="M89" s="23" t="s">
        <v>1099</v>
      </c>
      <c r="N89" s="23" t="s">
        <v>1100</v>
      </c>
      <c r="O89" s="23" t="s">
        <v>1101</v>
      </c>
      <c r="P89" s="23" t="s">
        <v>1102</v>
      </c>
      <c r="Q89" s="23" t="s">
        <v>1103</v>
      </c>
      <c r="R89" s="23" t="s">
        <v>1104</v>
      </c>
      <c r="S89" s="31" t="s">
        <v>142</v>
      </c>
      <c r="T89" s="64" t="s">
        <v>1105</v>
      </c>
      <c r="U89" s="56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</row>
    <row r="90" spans="1:44" ht="21" customHeight="1" x14ac:dyDescent="0.2">
      <c r="A90" s="1">
        <v>85</v>
      </c>
      <c r="B90" s="69"/>
      <c r="C90" s="69"/>
      <c r="D90" s="26" t="s">
        <v>262</v>
      </c>
      <c r="E90" s="26" t="s">
        <v>1106</v>
      </c>
      <c r="F90" s="26" t="s">
        <v>1107</v>
      </c>
      <c r="G90" s="23" t="s">
        <v>1108</v>
      </c>
      <c r="H90" s="30" t="s">
        <v>1109</v>
      </c>
      <c r="I90" s="23" t="s">
        <v>1110</v>
      </c>
      <c r="J90" s="23" t="s">
        <v>25</v>
      </c>
      <c r="K90" s="23">
        <v>8</v>
      </c>
      <c r="L90" s="23" t="s">
        <v>1111</v>
      </c>
      <c r="M90" s="23" t="s">
        <v>1112</v>
      </c>
      <c r="N90" s="23" t="s">
        <v>400</v>
      </c>
      <c r="O90" s="23" t="s">
        <v>1113</v>
      </c>
      <c r="P90" s="23" t="s">
        <v>1114</v>
      </c>
      <c r="Q90" s="23" t="s">
        <v>1115</v>
      </c>
      <c r="R90" s="23" t="s">
        <v>1116</v>
      </c>
      <c r="S90" s="31" t="s">
        <v>1117</v>
      </c>
      <c r="T90" s="64" t="s">
        <v>1118</v>
      </c>
      <c r="U90" s="56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</row>
    <row r="91" spans="1:44" ht="21" customHeight="1" x14ac:dyDescent="0.2">
      <c r="A91" s="1">
        <v>86</v>
      </c>
      <c r="B91" s="69"/>
      <c r="C91" s="69"/>
      <c r="D91" s="26" t="s">
        <v>463</v>
      </c>
      <c r="E91" s="27" t="s">
        <v>1126</v>
      </c>
      <c r="F91" s="27" t="s">
        <v>210</v>
      </c>
      <c r="G91" s="13" t="s">
        <v>1127</v>
      </c>
      <c r="H91" s="14" t="s">
        <v>430</v>
      </c>
      <c r="I91" s="17" t="s">
        <v>431</v>
      </c>
      <c r="J91" s="13" t="s">
        <v>18</v>
      </c>
      <c r="K91" s="13">
        <v>8</v>
      </c>
      <c r="L91" s="13" t="s">
        <v>1128</v>
      </c>
      <c r="M91" s="13" t="s">
        <v>433</v>
      </c>
      <c r="N91" s="13" t="s">
        <v>434</v>
      </c>
      <c r="O91" s="13" t="s">
        <v>435</v>
      </c>
      <c r="P91" s="13" t="s">
        <v>436</v>
      </c>
      <c r="Q91" s="13" t="s">
        <v>437</v>
      </c>
      <c r="R91" s="13" t="s">
        <v>1129</v>
      </c>
      <c r="S91" s="18" t="s">
        <v>128</v>
      </c>
      <c r="T91" s="58" t="s">
        <v>438</v>
      </c>
      <c r="U91" s="56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</row>
    <row r="92" spans="1:44" ht="21" customHeight="1" x14ac:dyDescent="0.2">
      <c r="A92" s="1">
        <v>87</v>
      </c>
      <c r="B92" s="55"/>
      <c r="C92" s="55"/>
      <c r="D92" s="26" t="s">
        <v>278</v>
      </c>
      <c r="E92" s="27" t="s">
        <v>1130</v>
      </c>
      <c r="F92" s="27" t="s">
        <v>931</v>
      </c>
      <c r="G92" s="13" t="s">
        <v>1131</v>
      </c>
      <c r="H92" s="14" t="s">
        <v>754</v>
      </c>
      <c r="I92" s="28" t="s">
        <v>755</v>
      </c>
      <c r="J92" s="13" t="s">
        <v>18</v>
      </c>
      <c r="K92" s="13">
        <v>8</v>
      </c>
      <c r="L92" s="13" t="s">
        <v>979</v>
      </c>
      <c r="M92" s="13" t="s">
        <v>757</v>
      </c>
      <c r="N92" s="13" t="s">
        <v>758</v>
      </c>
      <c r="O92" s="13" t="s">
        <v>759</v>
      </c>
      <c r="P92" s="13" t="s">
        <v>760</v>
      </c>
      <c r="Q92" s="13" t="s">
        <v>761</v>
      </c>
      <c r="R92" s="13" t="s">
        <v>1132</v>
      </c>
      <c r="S92" s="18" t="s">
        <v>763</v>
      </c>
      <c r="T92" s="58" t="s">
        <v>764</v>
      </c>
      <c r="U92" s="56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</row>
    <row r="93" spans="1:44" ht="21" customHeight="1" x14ac:dyDescent="0.2">
      <c r="A93" s="1">
        <v>88</v>
      </c>
      <c r="B93" s="74" t="str">
        <f>"H9                ("&amp;COUNTA(D93:D107)&amp;")"</f>
        <v>H9                (15)</v>
      </c>
      <c r="C93" s="70" t="s">
        <v>1133</v>
      </c>
      <c r="D93" s="47" t="s">
        <v>283</v>
      </c>
      <c r="E93" s="27" t="s">
        <v>1134</v>
      </c>
      <c r="F93" s="27" t="s">
        <v>1135</v>
      </c>
      <c r="G93" s="13" t="s">
        <v>1136</v>
      </c>
      <c r="H93" s="14" t="s">
        <v>554</v>
      </c>
      <c r="I93" s="17" t="s">
        <v>555</v>
      </c>
      <c r="J93" s="13" t="s">
        <v>25</v>
      </c>
      <c r="K93" s="13">
        <v>9</v>
      </c>
      <c r="L93" s="13" t="s">
        <v>1137</v>
      </c>
      <c r="M93" s="13" t="s">
        <v>557</v>
      </c>
      <c r="N93" s="13" t="s">
        <v>558</v>
      </c>
      <c r="O93" s="13" t="s">
        <v>559</v>
      </c>
      <c r="P93" s="13" t="s">
        <v>560</v>
      </c>
      <c r="Q93" s="13" t="s">
        <v>1138</v>
      </c>
      <c r="R93" s="13" t="s">
        <v>1139</v>
      </c>
      <c r="S93" s="18" t="s">
        <v>1140</v>
      </c>
      <c r="T93" s="58"/>
      <c r="U93" s="56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</row>
    <row r="94" spans="1:44" ht="21" customHeight="1" x14ac:dyDescent="0.2">
      <c r="A94" s="1">
        <v>89</v>
      </c>
      <c r="B94" s="69"/>
      <c r="C94" s="69"/>
      <c r="D94" s="27" t="s">
        <v>1141</v>
      </c>
      <c r="E94" s="27" t="s">
        <v>1142</v>
      </c>
      <c r="F94" s="27" t="s">
        <v>1143</v>
      </c>
      <c r="G94" s="13" t="s">
        <v>1144</v>
      </c>
      <c r="H94" s="14" t="s">
        <v>1145</v>
      </c>
      <c r="I94" s="17" t="s">
        <v>1146</v>
      </c>
      <c r="J94" s="13" t="s">
        <v>18</v>
      </c>
      <c r="K94" s="13">
        <v>9</v>
      </c>
      <c r="L94" s="13" t="s">
        <v>1147</v>
      </c>
      <c r="M94" s="13" t="s">
        <v>1148</v>
      </c>
      <c r="N94" s="13" t="s">
        <v>1149</v>
      </c>
      <c r="O94" s="13" t="s">
        <v>1150</v>
      </c>
      <c r="P94" s="13" t="s">
        <v>1151</v>
      </c>
      <c r="Q94" s="13" t="s">
        <v>1152</v>
      </c>
      <c r="R94" s="13" t="s">
        <v>1153</v>
      </c>
      <c r="S94" s="18" t="s">
        <v>1154</v>
      </c>
      <c r="T94" s="58" t="s">
        <v>1155</v>
      </c>
      <c r="U94" s="56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</row>
    <row r="95" spans="1:44" ht="21" customHeight="1" x14ac:dyDescent="0.2">
      <c r="A95" s="1">
        <v>90</v>
      </c>
      <c r="B95" s="69"/>
      <c r="C95" s="69"/>
      <c r="D95" s="26" t="s">
        <v>1156</v>
      </c>
      <c r="E95" s="27" t="s">
        <v>1157</v>
      </c>
      <c r="F95" s="27" t="s">
        <v>121</v>
      </c>
      <c r="G95" s="13" t="s">
        <v>1158</v>
      </c>
      <c r="H95" s="14" t="s">
        <v>1159</v>
      </c>
      <c r="I95" s="17" t="s">
        <v>1160</v>
      </c>
      <c r="J95" s="13" t="s">
        <v>25</v>
      </c>
      <c r="K95" s="13">
        <v>9</v>
      </c>
      <c r="L95" s="13" t="s">
        <v>1161</v>
      </c>
      <c r="M95" s="13" t="s">
        <v>1162</v>
      </c>
      <c r="N95" s="13" t="s">
        <v>1163</v>
      </c>
      <c r="O95" s="13" t="s">
        <v>1164</v>
      </c>
      <c r="P95" s="13" t="s">
        <v>1165</v>
      </c>
      <c r="Q95" s="13" t="s">
        <v>1166</v>
      </c>
      <c r="R95" s="13" t="s">
        <v>1167</v>
      </c>
      <c r="S95" s="18" t="s">
        <v>632</v>
      </c>
      <c r="T95" s="58" t="s">
        <v>1168</v>
      </c>
      <c r="U95" s="56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</row>
    <row r="96" spans="1:44" ht="21" customHeight="1" x14ac:dyDescent="0.2">
      <c r="A96" s="1">
        <v>91</v>
      </c>
      <c r="B96" s="69"/>
      <c r="C96" s="69"/>
      <c r="D96" s="26" t="s">
        <v>294</v>
      </c>
      <c r="E96" s="27" t="s">
        <v>1169</v>
      </c>
      <c r="F96" s="27" t="s">
        <v>1170</v>
      </c>
      <c r="G96" s="13" t="s">
        <v>1171</v>
      </c>
      <c r="H96" s="14" t="s">
        <v>39</v>
      </c>
      <c r="I96" s="17" t="s">
        <v>1172</v>
      </c>
      <c r="J96" s="13" t="s">
        <v>18</v>
      </c>
      <c r="K96" s="13">
        <v>9</v>
      </c>
      <c r="L96" s="13" t="s">
        <v>1173</v>
      </c>
      <c r="M96" s="13" t="s">
        <v>1174</v>
      </c>
      <c r="N96" s="13" t="s">
        <v>1175</v>
      </c>
      <c r="O96" s="13" t="s">
        <v>1176</v>
      </c>
      <c r="P96" s="13" t="s">
        <v>1177</v>
      </c>
      <c r="Q96" s="13" t="s">
        <v>1178</v>
      </c>
      <c r="R96" s="13" t="s">
        <v>1179</v>
      </c>
      <c r="S96" s="18" t="s">
        <v>1180</v>
      </c>
      <c r="T96" s="58" t="s">
        <v>1180</v>
      </c>
      <c r="U96" s="56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</row>
    <row r="97" spans="1:44" ht="21" customHeight="1" x14ac:dyDescent="0.2">
      <c r="A97" s="1">
        <v>92</v>
      </c>
      <c r="B97" s="69"/>
      <c r="C97" s="69"/>
      <c r="D97" s="26" t="s">
        <v>391</v>
      </c>
      <c r="E97" s="27" t="s">
        <v>1181</v>
      </c>
      <c r="F97" s="27" t="s">
        <v>1182</v>
      </c>
      <c r="G97" s="13" t="s">
        <v>1183</v>
      </c>
      <c r="H97" s="14" t="s">
        <v>862</v>
      </c>
      <c r="I97" s="17" t="s">
        <v>1184</v>
      </c>
      <c r="J97" s="13" t="s">
        <v>18</v>
      </c>
      <c r="K97" s="13">
        <v>9</v>
      </c>
      <c r="L97" s="13" t="s">
        <v>1185</v>
      </c>
      <c r="M97" s="13" t="s">
        <v>865</v>
      </c>
      <c r="N97" s="13" t="s">
        <v>866</v>
      </c>
      <c r="O97" s="13" t="s">
        <v>867</v>
      </c>
      <c r="P97" s="13" t="s">
        <v>868</v>
      </c>
      <c r="Q97" s="13" t="s">
        <v>869</v>
      </c>
      <c r="R97" s="13" t="s">
        <v>1186</v>
      </c>
      <c r="S97" s="18" t="s">
        <v>1187</v>
      </c>
      <c r="T97" s="58" t="s">
        <v>1188</v>
      </c>
      <c r="U97" s="56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</row>
    <row r="98" spans="1:44" ht="21" customHeight="1" x14ac:dyDescent="0.2">
      <c r="A98" s="1">
        <v>93</v>
      </c>
      <c r="B98" s="69"/>
      <c r="C98" s="69"/>
      <c r="D98" s="26" t="s">
        <v>1189</v>
      </c>
      <c r="E98" s="27" t="s">
        <v>1190</v>
      </c>
      <c r="F98" s="27" t="s">
        <v>1191</v>
      </c>
      <c r="G98" s="13" t="s">
        <v>1192</v>
      </c>
      <c r="H98" s="14" t="s">
        <v>754</v>
      </c>
      <c r="I98" s="17" t="s">
        <v>1193</v>
      </c>
      <c r="J98" s="13" t="s">
        <v>25</v>
      </c>
      <c r="K98" s="13">
        <v>9</v>
      </c>
      <c r="L98" s="13" t="s">
        <v>1194</v>
      </c>
      <c r="M98" s="13" t="s">
        <v>1195</v>
      </c>
      <c r="N98" s="13" t="s">
        <v>1196</v>
      </c>
      <c r="O98" s="13" t="s">
        <v>1197</v>
      </c>
      <c r="P98" s="13" t="s">
        <v>1198</v>
      </c>
      <c r="Q98" s="13" t="s">
        <v>1199</v>
      </c>
      <c r="R98" s="13" t="s">
        <v>1200</v>
      </c>
      <c r="S98" s="18" t="s">
        <v>994</v>
      </c>
      <c r="T98" s="58" t="s">
        <v>59</v>
      </c>
      <c r="U98" s="56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</row>
    <row r="99" spans="1:44" ht="21" customHeight="1" x14ac:dyDescent="0.2">
      <c r="A99" s="1">
        <v>94</v>
      </c>
      <c r="B99" s="69"/>
      <c r="C99" s="69"/>
      <c r="D99" s="26" t="s">
        <v>311</v>
      </c>
      <c r="E99" s="27" t="s">
        <v>1201</v>
      </c>
      <c r="F99" s="27" t="s">
        <v>1202</v>
      </c>
      <c r="G99" s="13" t="s">
        <v>1203</v>
      </c>
      <c r="H99" s="14" t="s">
        <v>323</v>
      </c>
      <c r="I99" s="17" t="s">
        <v>324</v>
      </c>
      <c r="J99" s="13" t="s">
        <v>25</v>
      </c>
      <c r="K99" s="13">
        <v>9</v>
      </c>
      <c r="L99" s="13" t="s">
        <v>1204</v>
      </c>
      <c r="M99" s="13" t="s">
        <v>327</v>
      </c>
      <c r="N99" s="13" t="s">
        <v>328</v>
      </c>
      <c r="O99" s="13" t="s">
        <v>329</v>
      </c>
      <c r="P99" s="13" t="s">
        <v>330</v>
      </c>
      <c r="Q99" s="13" t="s">
        <v>331</v>
      </c>
      <c r="R99" s="13" t="s">
        <v>1205</v>
      </c>
      <c r="S99" s="18" t="s">
        <v>332</v>
      </c>
      <c r="T99" s="58" t="s">
        <v>333</v>
      </c>
      <c r="U99" s="56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</row>
    <row r="100" spans="1:44" ht="21" customHeight="1" x14ac:dyDescent="0.2">
      <c r="A100" s="1">
        <v>95</v>
      </c>
      <c r="B100" s="69"/>
      <c r="C100" s="69"/>
      <c r="D100" s="29" t="s">
        <v>448</v>
      </c>
      <c r="E100" s="27" t="s">
        <v>1206</v>
      </c>
      <c r="F100" s="27" t="s">
        <v>1207</v>
      </c>
      <c r="G100" s="13" t="s">
        <v>1208</v>
      </c>
      <c r="H100" s="14" t="s">
        <v>1209</v>
      </c>
      <c r="I100" s="17" t="s">
        <v>1210</v>
      </c>
      <c r="J100" s="13" t="s">
        <v>25</v>
      </c>
      <c r="K100" s="13">
        <v>9</v>
      </c>
      <c r="L100" s="13" t="s">
        <v>1211</v>
      </c>
      <c r="M100" s="13" t="s">
        <v>1212</v>
      </c>
      <c r="N100" s="13" t="s">
        <v>1213</v>
      </c>
      <c r="O100" s="13" t="s">
        <v>1214</v>
      </c>
      <c r="P100" s="13" t="s">
        <v>1215</v>
      </c>
      <c r="Q100" s="13" t="s">
        <v>1216</v>
      </c>
      <c r="R100" s="13" t="s">
        <v>1217</v>
      </c>
      <c r="S100" s="18" t="s">
        <v>483</v>
      </c>
      <c r="T100" s="58" t="s">
        <v>1218</v>
      </c>
      <c r="U100" s="56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</row>
    <row r="101" spans="1:44" ht="21" customHeight="1" x14ac:dyDescent="0.2">
      <c r="A101" s="1">
        <v>96</v>
      </c>
      <c r="B101" s="69"/>
      <c r="C101" s="69"/>
      <c r="D101" s="29" t="s">
        <v>1219</v>
      </c>
      <c r="E101" s="27" t="s">
        <v>1220</v>
      </c>
      <c r="F101" s="27" t="s">
        <v>1221</v>
      </c>
      <c r="G101" s="13" t="s">
        <v>1222</v>
      </c>
      <c r="H101" s="14" t="s">
        <v>66</v>
      </c>
      <c r="I101" s="17" t="s">
        <v>1223</v>
      </c>
      <c r="J101" s="13" t="s">
        <v>25</v>
      </c>
      <c r="K101" s="13">
        <v>9</v>
      </c>
      <c r="L101" s="13" t="s">
        <v>1224</v>
      </c>
      <c r="M101" s="13" t="s">
        <v>1225</v>
      </c>
      <c r="N101" s="13" t="s">
        <v>1226</v>
      </c>
      <c r="O101" s="13" t="s">
        <v>1227</v>
      </c>
      <c r="P101" s="13" t="s">
        <v>1228</v>
      </c>
      <c r="Q101" s="13" t="s">
        <v>1229</v>
      </c>
      <c r="R101" s="13" t="s">
        <v>1230</v>
      </c>
      <c r="S101" s="18" t="s">
        <v>483</v>
      </c>
      <c r="T101" s="58" t="s">
        <v>1231</v>
      </c>
      <c r="U101" s="56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</row>
    <row r="102" spans="1:44" ht="21" customHeight="1" x14ac:dyDescent="0.2">
      <c r="A102" s="1">
        <v>97</v>
      </c>
      <c r="B102" s="69"/>
      <c r="C102" s="69"/>
      <c r="D102" s="29" t="s">
        <v>1232</v>
      </c>
      <c r="E102" s="27" t="s">
        <v>1233</v>
      </c>
      <c r="F102" s="27" t="s">
        <v>1234</v>
      </c>
      <c r="G102" s="13" t="s">
        <v>1235</v>
      </c>
      <c r="H102" s="14" t="s">
        <v>388</v>
      </c>
      <c r="I102" s="17" t="s">
        <v>1236</v>
      </c>
      <c r="J102" s="13" t="s">
        <v>25</v>
      </c>
      <c r="K102" s="13">
        <v>9</v>
      </c>
      <c r="L102" s="13" t="s">
        <v>1237</v>
      </c>
      <c r="M102" s="13" t="s">
        <v>1238</v>
      </c>
      <c r="N102" s="13" t="s">
        <v>1239</v>
      </c>
      <c r="O102" s="13" t="s">
        <v>1240</v>
      </c>
      <c r="P102" s="13" t="s">
        <v>1241</v>
      </c>
      <c r="Q102" s="13" t="s">
        <v>1242</v>
      </c>
      <c r="R102" s="13" t="s">
        <v>1243</v>
      </c>
      <c r="S102" s="18" t="s">
        <v>56</v>
      </c>
      <c r="T102" s="58" t="s">
        <v>1244</v>
      </c>
      <c r="U102" s="56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</row>
    <row r="103" spans="1:44" ht="21" customHeight="1" x14ac:dyDescent="0.2">
      <c r="A103" s="1">
        <v>98</v>
      </c>
      <c r="B103" s="69"/>
      <c r="C103" s="69"/>
      <c r="D103" s="26" t="s">
        <v>1245</v>
      </c>
      <c r="E103" s="27" t="s">
        <v>1246</v>
      </c>
      <c r="F103" s="27" t="s">
        <v>1247</v>
      </c>
      <c r="G103" s="13" t="s">
        <v>1248</v>
      </c>
      <c r="H103" s="14" t="s">
        <v>590</v>
      </c>
      <c r="I103" s="28" t="s">
        <v>1249</v>
      </c>
      <c r="J103" s="13" t="s">
        <v>25</v>
      </c>
      <c r="K103" s="13">
        <v>9</v>
      </c>
      <c r="L103" s="13" t="s">
        <v>1250</v>
      </c>
      <c r="M103" s="13" t="s">
        <v>1251</v>
      </c>
      <c r="N103" s="13" t="s">
        <v>1252</v>
      </c>
      <c r="O103" s="13" t="s">
        <v>1253</v>
      </c>
      <c r="P103" s="13" t="s">
        <v>1254</v>
      </c>
      <c r="Q103" s="13" t="s">
        <v>1255</v>
      </c>
      <c r="R103" s="13" t="s">
        <v>1256</v>
      </c>
      <c r="S103" s="18" t="s">
        <v>75</v>
      </c>
      <c r="T103" s="58" t="s">
        <v>1257</v>
      </c>
      <c r="U103" s="56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</row>
    <row r="104" spans="1:44" ht="21" customHeight="1" x14ac:dyDescent="0.2">
      <c r="A104" s="1">
        <v>99</v>
      </c>
      <c r="B104" s="69"/>
      <c r="C104" s="69"/>
      <c r="D104" s="26" t="s">
        <v>250</v>
      </c>
      <c r="E104" s="26" t="s">
        <v>1258</v>
      </c>
      <c r="F104" s="26" t="s">
        <v>1259</v>
      </c>
      <c r="G104" s="23" t="s">
        <v>1260</v>
      </c>
      <c r="H104" s="30" t="s">
        <v>325</v>
      </c>
      <c r="I104" s="23" t="s">
        <v>1261</v>
      </c>
      <c r="J104" s="23" t="s">
        <v>18</v>
      </c>
      <c r="K104" s="23">
        <v>9</v>
      </c>
      <c r="L104" s="23" t="s">
        <v>1262</v>
      </c>
      <c r="M104" s="23" t="s">
        <v>1263</v>
      </c>
      <c r="N104" s="23" t="s">
        <v>1264</v>
      </c>
      <c r="O104" s="23" t="s">
        <v>1265</v>
      </c>
      <c r="P104" s="23" t="s">
        <v>1266</v>
      </c>
      <c r="Q104" s="23" t="s">
        <v>1267</v>
      </c>
      <c r="R104" s="23" t="s">
        <v>1268</v>
      </c>
      <c r="S104" s="31" t="s">
        <v>142</v>
      </c>
      <c r="T104" s="64" t="s">
        <v>1269</v>
      </c>
      <c r="U104" s="56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</row>
    <row r="105" spans="1:44" ht="21" customHeight="1" x14ac:dyDescent="0.2">
      <c r="A105" s="1">
        <v>100</v>
      </c>
      <c r="B105" s="69"/>
      <c r="C105" s="69"/>
      <c r="D105" s="26" t="s">
        <v>264</v>
      </c>
      <c r="E105" s="26" t="s">
        <v>1270</v>
      </c>
      <c r="F105" s="26" t="s">
        <v>1271</v>
      </c>
      <c r="G105" s="23" t="s">
        <v>1272</v>
      </c>
      <c r="H105" s="30" t="s">
        <v>1273</v>
      </c>
      <c r="I105" s="23" t="s">
        <v>1274</v>
      </c>
      <c r="J105" s="23" t="s">
        <v>25</v>
      </c>
      <c r="K105" s="23">
        <v>9</v>
      </c>
      <c r="L105" s="23" t="s">
        <v>1275</v>
      </c>
      <c r="M105" s="23" t="s">
        <v>1276</v>
      </c>
      <c r="N105" s="23" t="s">
        <v>1277</v>
      </c>
      <c r="O105" s="23" t="s">
        <v>1278</v>
      </c>
      <c r="P105" s="23" t="s">
        <v>1279</v>
      </c>
      <c r="Q105" s="23" t="s">
        <v>1280</v>
      </c>
      <c r="R105" s="23" t="s">
        <v>1281</v>
      </c>
      <c r="S105" s="31" t="s">
        <v>142</v>
      </c>
      <c r="T105" s="64" t="s">
        <v>1282</v>
      </c>
      <c r="U105" s="56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</row>
    <row r="106" spans="1:44" ht="21" customHeight="1" x14ac:dyDescent="0.2">
      <c r="A106" s="1">
        <v>101</v>
      </c>
      <c r="B106" s="69"/>
      <c r="C106" s="69"/>
      <c r="D106" s="29" t="s">
        <v>1283</v>
      </c>
      <c r="E106" s="27" t="s">
        <v>1284</v>
      </c>
      <c r="F106" s="27" t="s">
        <v>467</v>
      </c>
      <c r="G106" s="13" t="s">
        <v>1285</v>
      </c>
      <c r="H106" s="14" t="s">
        <v>58</v>
      </c>
      <c r="I106" s="17" t="s">
        <v>1286</v>
      </c>
      <c r="J106" s="13" t="s">
        <v>18</v>
      </c>
      <c r="K106" s="13">
        <v>9</v>
      </c>
      <c r="L106" s="13" t="s">
        <v>1287</v>
      </c>
      <c r="M106" s="13" t="s">
        <v>1288</v>
      </c>
      <c r="N106" s="13" t="s">
        <v>1289</v>
      </c>
      <c r="O106" s="13" t="s">
        <v>1290</v>
      </c>
      <c r="P106" s="13" t="s">
        <v>1291</v>
      </c>
      <c r="Q106" s="13" t="s">
        <v>1292</v>
      </c>
      <c r="R106" s="13" t="s">
        <v>1293</v>
      </c>
      <c r="S106" s="18" t="s">
        <v>128</v>
      </c>
      <c r="T106" s="58" t="s">
        <v>1088</v>
      </c>
      <c r="U106" s="56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</row>
    <row r="107" spans="1:44" ht="21" customHeight="1" x14ac:dyDescent="0.2">
      <c r="A107" s="1">
        <v>102</v>
      </c>
      <c r="B107" s="55"/>
      <c r="C107" s="55"/>
      <c r="D107" s="26" t="s">
        <v>1294</v>
      </c>
      <c r="E107" s="27" t="s">
        <v>1295</v>
      </c>
      <c r="F107" s="27" t="s">
        <v>673</v>
      </c>
      <c r="G107" s="13" t="s">
        <v>1296</v>
      </c>
      <c r="H107" s="14" t="s">
        <v>1297</v>
      </c>
      <c r="I107" s="17" t="s">
        <v>1298</v>
      </c>
      <c r="J107" s="13" t="s">
        <v>25</v>
      </c>
      <c r="K107" s="13">
        <v>9</v>
      </c>
      <c r="L107" s="13" t="s">
        <v>1299</v>
      </c>
      <c r="M107" s="13" t="s">
        <v>1300</v>
      </c>
      <c r="N107" s="13" t="s">
        <v>1301</v>
      </c>
      <c r="O107" s="13" t="s">
        <v>1302</v>
      </c>
      <c r="P107" s="13" t="s">
        <v>1303</v>
      </c>
      <c r="Q107" s="13" t="s">
        <v>1304</v>
      </c>
      <c r="R107" s="13" t="s">
        <v>1305</v>
      </c>
      <c r="S107" s="18" t="s">
        <v>75</v>
      </c>
      <c r="T107" s="58" t="s">
        <v>1306</v>
      </c>
      <c r="U107" s="56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</row>
    <row r="108" spans="1:44" ht="21" customHeight="1" x14ac:dyDescent="0.2">
      <c r="A108" s="1">
        <v>103</v>
      </c>
      <c r="B108" s="74" t="str">
        <f>"H10                ("&amp;COUNTA(D108:D125)&amp;")"</f>
        <v>H10                (18)</v>
      </c>
      <c r="C108" s="72" t="s">
        <v>1307</v>
      </c>
      <c r="D108" s="49" t="s">
        <v>236</v>
      </c>
      <c r="E108" s="27" t="s">
        <v>1308</v>
      </c>
      <c r="F108" s="27" t="s">
        <v>1309</v>
      </c>
      <c r="G108" s="13" t="s">
        <v>1310</v>
      </c>
      <c r="H108" s="14" t="s">
        <v>66</v>
      </c>
      <c r="I108" s="17" t="s">
        <v>1311</v>
      </c>
      <c r="J108" s="13" t="s">
        <v>18</v>
      </c>
      <c r="K108" s="13">
        <v>10</v>
      </c>
      <c r="L108" s="13" t="s">
        <v>1211</v>
      </c>
      <c r="M108" s="13" t="s">
        <v>219</v>
      </c>
      <c r="N108" s="13" t="s">
        <v>221</v>
      </c>
      <c r="O108" s="13" t="s">
        <v>1312</v>
      </c>
      <c r="P108" s="13" t="s">
        <v>223</v>
      </c>
      <c r="Q108" s="13" t="s">
        <v>226</v>
      </c>
      <c r="R108" s="13" t="s">
        <v>1313</v>
      </c>
      <c r="S108" s="18" t="s">
        <v>88</v>
      </c>
      <c r="T108" s="58" t="s">
        <v>1314</v>
      </c>
      <c r="U108" s="56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</row>
    <row r="109" spans="1:44" ht="21" customHeight="1" x14ac:dyDescent="0.2">
      <c r="A109" s="1">
        <v>104</v>
      </c>
      <c r="B109" s="69"/>
      <c r="C109" s="69"/>
      <c r="D109" s="27" t="s">
        <v>1316</v>
      </c>
      <c r="E109" s="27" t="s">
        <v>1317</v>
      </c>
      <c r="F109" s="27" t="s">
        <v>619</v>
      </c>
      <c r="G109" s="13" t="s">
        <v>1318</v>
      </c>
      <c r="H109" s="14" t="s">
        <v>340</v>
      </c>
      <c r="I109" s="17" t="s">
        <v>1319</v>
      </c>
      <c r="J109" s="13" t="s">
        <v>18</v>
      </c>
      <c r="K109" s="13">
        <v>10</v>
      </c>
      <c r="L109" s="13" t="s">
        <v>1320</v>
      </c>
      <c r="M109" s="13" t="s">
        <v>1321</v>
      </c>
      <c r="N109" s="13" t="s">
        <v>1322</v>
      </c>
      <c r="O109" s="13" t="s">
        <v>1323</v>
      </c>
      <c r="P109" s="13" t="s">
        <v>1324</v>
      </c>
      <c r="Q109" s="13" t="s">
        <v>1325</v>
      </c>
      <c r="R109" s="13" t="s">
        <v>1326</v>
      </c>
      <c r="S109" s="18" t="s">
        <v>317</v>
      </c>
      <c r="T109" s="58" t="s">
        <v>1327</v>
      </c>
      <c r="U109" s="56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</row>
    <row r="110" spans="1:44" ht="21" customHeight="1" x14ac:dyDescent="0.2">
      <c r="A110" s="1">
        <v>105</v>
      </c>
      <c r="B110" s="69"/>
      <c r="C110" s="69"/>
      <c r="D110" s="26" t="s">
        <v>1328</v>
      </c>
      <c r="E110" s="27" t="s">
        <v>1329</v>
      </c>
      <c r="F110" s="27" t="s">
        <v>1330</v>
      </c>
      <c r="G110" s="13" t="s">
        <v>1331</v>
      </c>
      <c r="H110" s="14" t="s">
        <v>1332</v>
      </c>
      <c r="I110" s="17" t="s">
        <v>1333</v>
      </c>
      <c r="J110" s="13" t="s">
        <v>25</v>
      </c>
      <c r="K110" s="13">
        <v>10</v>
      </c>
      <c r="L110" s="13" t="s">
        <v>1334</v>
      </c>
      <c r="M110" s="13" t="s">
        <v>1335</v>
      </c>
      <c r="N110" s="13" t="s">
        <v>1336</v>
      </c>
      <c r="O110" s="13" t="s">
        <v>1337</v>
      </c>
      <c r="P110" s="13" t="s">
        <v>1338</v>
      </c>
      <c r="Q110" s="13" t="s">
        <v>1339</v>
      </c>
      <c r="R110" s="13" t="s">
        <v>1340</v>
      </c>
      <c r="S110" s="18" t="s">
        <v>35</v>
      </c>
      <c r="T110" s="58" t="s">
        <v>1342</v>
      </c>
      <c r="U110" s="56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</row>
    <row r="111" spans="1:44" ht="21" customHeight="1" x14ac:dyDescent="0.2">
      <c r="A111" s="1">
        <v>106</v>
      </c>
      <c r="B111" s="69"/>
      <c r="C111" s="69"/>
      <c r="D111" s="47" t="s">
        <v>1343</v>
      </c>
      <c r="E111" s="27" t="s">
        <v>1344</v>
      </c>
      <c r="F111" s="27" t="s">
        <v>1345</v>
      </c>
      <c r="G111" s="13" t="s">
        <v>1346</v>
      </c>
      <c r="H111" s="14" t="s">
        <v>476</v>
      </c>
      <c r="I111" s="17" t="s">
        <v>1347</v>
      </c>
      <c r="J111" s="13" t="s">
        <v>18</v>
      </c>
      <c r="K111" s="13">
        <v>10</v>
      </c>
      <c r="L111" s="13" t="s">
        <v>1348</v>
      </c>
      <c r="M111" s="13" t="s">
        <v>1349</v>
      </c>
      <c r="N111" s="13" t="s">
        <v>1350</v>
      </c>
      <c r="O111" s="13" t="s">
        <v>1351</v>
      </c>
      <c r="P111" s="13" t="s">
        <v>1352</v>
      </c>
      <c r="Q111" s="13" t="s">
        <v>1353</v>
      </c>
      <c r="R111" s="37" t="s">
        <v>1354</v>
      </c>
      <c r="S111" s="18" t="s">
        <v>1355</v>
      </c>
      <c r="T111" s="58" t="s">
        <v>466</v>
      </c>
      <c r="U111" s="56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</row>
    <row r="112" spans="1:44" ht="21" customHeight="1" x14ac:dyDescent="0.2">
      <c r="A112" s="1">
        <v>107</v>
      </c>
      <c r="B112" s="69"/>
      <c r="C112" s="69"/>
      <c r="D112" s="29" t="s">
        <v>414</v>
      </c>
      <c r="E112" s="27" t="s">
        <v>1356</v>
      </c>
      <c r="F112" s="27" t="s">
        <v>1357</v>
      </c>
      <c r="G112" s="13" t="s">
        <v>1358</v>
      </c>
      <c r="H112" s="14" t="s">
        <v>474</v>
      </c>
      <c r="I112" s="17" t="s">
        <v>475</v>
      </c>
      <c r="J112" s="13" t="s">
        <v>18</v>
      </c>
      <c r="K112" s="13">
        <v>10</v>
      </c>
      <c r="L112" s="13" t="s">
        <v>1359</v>
      </c>
      <c r="M112" s="13" t="s">
        <v>478</v>
      </c>
      <c r="N112" s="13" t="s">
        <v>479</v>
      </c>
      <c r="O112" s="13" t="s">
        <v>480</v>
      </c>
      <c r="P112" s="13" t="s">
        <v>481</v>
      </c>
      <c r="Q112" s="13" t="s">
        <v>482</v>
      </c>
      <c r="R112" s="13" t="s">
        <v>1360</v>
      </c>
      <c r="S112" s="18" t="s">
        <v>483</v>
      </c>
      <c r="T112" s="58" t="s">
        <v>484</v>
      </c>
      <c r="U112" s="56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</row>
    <row r="113" spans="1:44" ht="21" customHeight="1" x14ac:dyDescent="0.2">
      <c r="A113" s="1">
        <v>108</v>
      </c>
      <c r="B113" s="69"/>
      <c r="C113" s="69"/>
      <c r="D113" s="27" t="s">
        <v>1361</v>
      </c>
      <c r="E113" s="27" t="s">
        <v>1362</v>
      </c>
      <c r="F113" s="27" t="s">
        <v>1357</v>
      </c>
      <c r="G113" s="13" t="s">
        <v>1363</v>
      </c>
      <c r="H113" s="14" t="s">
        <v>58</v>
      </c>
      <c r="I113" s="17" t="s">
        <v>1364</v>
      </c>
      <c r="J113" s="13" t="s">
        <v>18</v>
      </c>
      <c r="K113" s="13">
        <v>10</v>
      </c>
      <c r="L113" s="13" t="s">
        <v>1365</v>
      </c>
      <c r="M113" s="13" t="s">
        <v>1366</v>
      </c>
      <c r="N113" s="13" t="s">
        <v>1367</v>
      </c>
      <c r="O113" s="13" t="s">
        <v>1368</v>
      </c>
      <c r="P113" s="13" t="s">
        <v>1369</v>
      </c>
      <c r="Q113" s="13" t="s">
        <v>1370</v>
      </c>
      <c r="R113" s="13" t="s">
        <v>1371</v>
      </c>
      <c r="S113" s="18" t="s">
        <v>747</v>
      </c>
      <c r="T113" s="58" t="s">
        <v>1372</v>
      </c>
      <c r="U113" s="56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</row>
    <row r="114" spans="1:44" ht="21" customHeight="1" x14ac:dyDescent="0.2">
      <c r="A114" s="1">
        <v>109</v>
      </c>
      <c r="B114" s="69"/>
      <c r="C114" s="69"/>
      <c r="D114" s="27" t="s">
        <v>1373</v>
      </c>
      <c r="E114" s="27" t="s">
        <v>1374</v>
      </c>
      <c r="F114" s="27" t="s">
        <v>859</v>
      </c>
      <c r="G114" s="13" t="s">
        <v>1376</v>
      </c>
      <c r="H114" s="14" t="s">
        <v>162</v>
      </c>
      <c r="I114" s="28" t="s">
        <v>1377</v>
      </c>
      <c r="J114" s="13" t="s">
        <v>25</v>
      </c>
      <c r="K114" s="13">
        <v>10</v>
      </c>
      <c r="L114" s="13" t="s">
        <v>1378</v>
      </c>
      <c r="M114" s="13" t="s">
        <v>1119</v>
      </c>
      <c r="N114" s="13" t="s">
        <v>1120</v>
      </c>
      <c r="O114" s="13" t="s">
        <v>1121</v>
      </c>
      <c r="P114" s="13" t="s">
        <v>1122</v>
      </c>
      <c r="Q114" s="13" t="s">
        <v>1123</v>
      </c>
      <c r="R114" s="13" t="s">
        <v>1379</v>
      </c>
      <c r="S114" s="18" t="s">
        <v>1124</v>
      </c>
      <c r="T114" s="58" t="s">
        <v>1125</v>
      </c>
      <c r="U114" s="56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</row>
    <row r="115" spans="1:44" ht="21" customHeight="1" x14ac:dyDescent="0.2">
      <c r="A115" s="1">
        <v>110</v>
      </c>
      <c r="B115" s="69"/>
      <c r="C115" s="69"/>
      <c r="D115" s="26" t="s">
        <v>385</v>
      </c>
      <c r="E115" s="27" t="s">
        <v>1380</v>
      </c>
      <c r="F115" s="27" t="s">
        <v>1381</v>
      </c>
      <c r="G115" s="13" t="s">
        <v>1382</v>
      </c>
      <c r="H115" s="14" t="s">
        <v>1383</v>
      </c>
      <c r="I115" s="17" t="s">
        <v>1384</v>
      </c>
      <c r="J115" s="13" t="s">
        <v>18</v>
      </c>
      <c r="K115" s="13">
        <v>10</v>
      </c>
      <c r="L115" s="13" t="s">
        <v>516</v>
      </c>
      <c r="M115" s="13" t="s">
        <v>1385</v>
      </c>
      <c r="N115" s="13" t="s">
        <v>1386</v>
      </c>
      <c r="O115" s="13" t="s">
        <v>1387</v>
      </c>
      <c r="P115" s="13" t="s">
        <v>1388</v>
      </c>
      <c r="Q115" s="13" t="s">
        <v>1389</v>
      </c>
      <c r="R115" s="13" t="s">
        <v>1390</v>
      </c>
      <c r="S115" s="18" t="s">
        <v>49</v>
      </c>
      <c r="T115" s="58" t="s">
        <v>1391</v>
      </c>
      <c r="U115" s="56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</row>
    <row r="116" spans="1:44" ht="21" customHeight="1" x14ac:dyDescent="0.2">
      <c r="A116" s="1">
        <v>111</v>
      </c>
      <c r="B116" s="69"/>
      <c r="C116" s="69"/>
      <c r="D116" s="26" t="s">
        <v>292</v>
      </c>
      <c r="E116" s="27" t="s">
        <v>1392</v>
      </c>
      <c r="F116" s="27" t="s">
        <v>1393</v>
      </c>
      <c r="G116" s="13" t="s">
        <v>1394</v>
      </c>
      <c r="H116" s="14" t="s">
        <v>39</v>
      </c>
      <c r="I116" s="17" t="s">
        <v>1172</v>
      </c>
      <c r="J116" s="13" t="s">
        <v>18</v>
      </c>
      <c r="K116" s="13">
        <v>10</v>
      </c>
      <c r="L116" s="13" t="s">
        <v>1395</v>
      </c>
      <c r="M116" s="13" t="s">
        <v>1174</v>
      </c>
      <c r="N116" s="13" t="s">
        <v>1175</v>
      </c>
      <c r="O116" s="13" t="s">
        <v>1176</v>
      </c>
      <c r="P116" s="13" t="s">
        <v>1177</v>
      </c>
      <c r="Q116" s="13" t="s">
        <v>1178</v>
      </c>
      <c r="R116" s="13" t="s">
        <v>1396</v>
      </c>
      <c r="S116" s="18" t="s">
        <v>578</v>
      </c>
      <c r="T116" s="58" t="s">
        <v>1736</v>
      </c>
      <c r="U116" s="56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</row>
    <row r="117" spans="1:44" ht="21" customHeight="1" x14ac:dyDescent="0.2">
      <c r="A117" s="1">
        <v>112</v>
      </c>
      <c r="B117" s="69"/>
      <c r="C117" s="69"/>
      <c r="D117" s="26" t="s">
        <v>1397</v>
      </c>
      <c r="E117" s="27" t="s">
        <v>1398</v>
      </c>
      <c r="F117" s="27" t="s">
        <v>232</v>
      </c>
      <c r="G117" s="13" t="s">
        <v>1399</v>
      </c>
      <c r="H117" s="14" t="s">
        <v>1051</v>
      </c>
      <c r="I117" s="17" t="s">
        <v>1400</v>
      </c>
      <c r="J117" s="13" t="s">
        <v>25</v>
      </c>
      <c r="K117" s="13">
        <v>10</v>
      </c>
      <c r="L117" s="13" t="s">
        <v>1401</v>
      </c>
      <c r="M117" s="13" t="s">
        <v>1402</v>
      </c>
      <c r="N117" s="13" t="s">
        <v>1403</v>
      </c>
      <c r="O117" s="13" t="s">
        <v>1404</v>
      </c>
      <c r="P117" s="13" t="s">
        <v>1405</v>
      </c>
      <c r="Q117" s="13" t="s">
        <v>1406</v>
      </c>
      <c r="R117" s="13" t="s">
        <v>1407</v>
      </c>
      <c r="S117" s="18" t="s">
        <v>128</v>
      </c>
      <c r="T117" s="58" t="s">
        <v>1408</v>
      </c>
      <c r="U117" s="56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</row>
    <row r="118" spans="1:44" ht="21" customHeight="1" x14ac:dyDescent="0.2">
      <c r="A118" s="1">
        <v>113</v>
      </c>
      <c r="B118" s="69"/>
      <c r="C118" s="69"/>
      <c r="D118" s="26" t="s">
        <v>1409</v>
      </c>
      <c r="E118" s="27" t="s">
        <v>1410</v>
      </c>
      <c r="F118" s="27" t="s">
        <v>1411</v>
      </c>
      <c r="G118" s="13" t="s">
        <v>1412</v>
      </c>
      <c r="H118" s="14" t="s">
        <v>1413</v>
      </c>
      <c r="I118" s="17" t="s">
        <v>1414</v>
      </c>
      <c r="J118" s="13" t="s">
        <v>18</v>
      </c>
      <c r="K118" s="13">
        <v>10</v>
      </c>
      <c r="L118" s="13" t="s">
        <v>1415</v>
      </c>
      <c r="M118" s="13" t="s">
        <v>1416</v>
      </c>
      <c r="N118" s="13" t="s">
        <v>1417</v>
      </c>
      <c r="O118" s="13" t="s">
        <v>1418</v>
      </c>
      <c r="P118" s="13" t="s">
        <v>1419</v>
      </c>
      <c r="Q118" s="13" t="s">
        <v>1420</v>
      </c>
      <c r="R118" s="13" t="s">
        <v>1421</v>
      </c>
      <c r="S118" s="18" t="s">
        <v>128</v>
      </c>
      <c r="T118" s="58" t="s">
        <v>249</v>
      </c>
      <c r="U118" s="56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</row>
    <row r="119" spans="1:44" ht="21" customHeight="1" x14ac:dyDescent="0.2">
      <c r="A119" s="1">
        <v>114</v>
      </c>
      <c r="B119" s="69"/>
      <c r="C119" s="69"/>
      <c r="D119" s="26" t="s">
        <v>1422</v>
      </c>
      <c r="E119" s="27" t="s">
        <v>1423</v>
      </c>
      <c r="F119" s="27" t="s">
        <v>1424</v>
      </c>
      <c r="G119" s="13" t="s">
        <v>1425</v>
      </c>
      <c r="H119" s="14" t="s">
        <v>1426</v>
      </c>
      <c r="I119" s="17" t="s">
        <v>1427</v>
      </c>
      <c r="J119" s="13" t="s">
        <v>25</v>
      </c>
      <c r="K119" s="13">
        <v>10</v>
      </c>
      <c r="L119" s="13" t="s">
        <v>1428</v>
      </c>
      <c r="M119" s="13" t="s">
        <v>1429</v>
      </c>
      <c r="N119" s="13" t="s">
        <v>1430</v>
      </c>
      <c r="O119" s="13" t="s">
        <v>1431</v>
      </c>
      <c r="P119" s="13" t="s">
        <v>1432</v>
      </c>
      <c r="Q119" s="13" t="s">
        <v>1433</v>
      </c>
      <c r="R119" s="13" t="s">
        <v>1434</v>
      </c>
      <c r="S119" s="18" t="s">
        <v>1435</v>
      </c>
      <c r="T119" s="58" t="s">
        <v>1436</v>
      </c>
      <c r="U119" s="56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</row>
    <row r="120" spans="1:44" ht="21" customHeight="1" x14ac:dyDescent="0.2">
      <c r="A120" s="1">
        <v>115</v>
      </c>
      <c r="B120" s="69"/>
      <c r="C120" s="69"/>
      <c r="D120" s="26" t="s">
        <v>1437</v>
      </c>
      <c r="E120" s="27" t="s">
        <v>1438</v>
      </c>
      <c r="F120" s="27" t="s">
        <v>828</v>
      </c>
      <c r="G120" s="13" t="s">
        <v>1439</v>
      </c>
      <c r="H120" s="14" t="s">
        <v>238</v>
      </c>
      <c r="I120" s="17" t="s">
        <v>1440</v>
      </c>
      <c r="J120" s="13" t="s">
        <v>25</v>
      </c>
      <c r="K120" s="13">
        <v>10</v>
      </c>
      <c r="L120" s="13" t="s">
        <v>1441</v>
      </c>
      <c r="M120" s="13" t="s">
        <v>1442</v>
      </c>
      <c r="N120" s="13" t="s">
        <v>1443</v>
      </c>
      <c r="O120" s="13" t="s">
        <v>1444</v>
      </c>
      <c r="P120" s="13" t="s">
        <v>1445</v>
      </c>
      <c r="Q120" s="13" t="s">
        <v>1446</v>
      </c>
      <c r="R120" s="13" t="s">
        <v>1447</v>
      </c>
      <c r="S120" s="18" t="s">
        <v>1448</v>
      </c>
      <c r="T120" s="58" t="s">
        <v>1449</v>
      </c>
      <c r="U120" s="56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</row>
    <row r="121" spans="1:44" ht="21" customHeight="1" x14ac:dyDescent="0.2">
      <c r="A121" s="1">
        <v>116</v>
      </c>
      <c r="B121" s="69"/>
      <c r="C121" s="69"/>
      <c r="D121" s="26" t="s">
        <v>63</v>
      </c>
      <c r="E121" s="26" t="s">
        <v>65</v>
      </c>
      <c r="F121" s="26" t="s">
        <v>67</v>
      </c>
      <c r="G121" s="23" t="s">
        <v>1450</v>
      </c>
      <c r="H121" s="30" t="s">
        <v>1451</v>
      </c>
      <c r="I121" s="23" t="s">
        <v>1452</v>
      </c>
      <c r="J121" s="23" t="s">
        <v>25</v>
      </c>
      <c r="K121" s="23">
        <v>10</v>
      </c>
      <c r="L121" s="23" t="s">
        <v>1453</v>
      </c>
      <c r="M121" s="23" t="s">
        <v>1454</v>
      </c>
      <c r="N121" s="23" t="s">
        <v>1455</v>
      </c>
      <c r="O121" s="23" t="s">
        <v>1456</v>
      </c>
      <c r="P121" s="23" t="s">
        <v>1457</v>
      </c>
      <c r="Q121" s="23" t="s">
        <v>1458</v>
      </c>
      <c r="R121" s="23" t="s">
        <v>1459</v>
      </c>
      <c r="S121" s="31" t="s">
        <v>142</v>
      </c>
      <c r="T121" s="64" t="s">
        <v>1460</v>
      </c>
      <c r="U121" s="56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</row>
    <row r="122" spans="1:44" ht="21" customHeight="1" x14ac:dyDescent="0.2">
      <c r="A122" s="1">
        <v>117</v>
      </c>
      <c r="B122" s="69"/>
      <c r="C122" s="69"/>
      <c r="D122" s="29" t="s">
        <v>277</v>
      </c>
      <c r="E122" s="26" t="s">
        <v>1461</v>
      </c>
      <c r="F122" s="26" t="s">
        <v>1330</v>
      </c>
      <c r="G122" s="23" t="s">
        <v>1462</v>
      </c>
      <c r="H122" s="30" t="s">
        <v>1463</v>
      </c>
      <c r="I122" s="23" t="s">
        <v>1464</v>
      </c>
      <c r="J122" s="23" t="s">
        <v>25</v>
      </c>
      <c r="K122" s="23">
        <v>10</v>
      </c>
      <c r="L122" s="23" t="s">
        <v>1465</v>
      </c>
      <c r="M122" s="23" t="s">
        <v>1466</v>
      </c>
      <c r="N122" s="23" t="s">
        <v>1467</v>
      </c>
      <c r="O122" s="23" t="s">
        <v>1468</v>
      </c>
      <c r="P122" s="23" t="s">
        <v>1469</v>
      </c>
      <c r="Q122" s="23" t="s">
        <v>1470</v>
      </c>
      <c r="R122" s="23" t="s">
        <v>1471</v>
      </c>
      <c r="S122" s="31" t="s">
        <v>142</v>
      </c>
      <c r="T122" s="64" t="s">
        <v>1472</v>
      </c>
      <c r="U122" s="56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</row>
    <row r="123" spans="1:44" ht="21" customHeight="1" x14ac:dyDescent="0.2">
      <c r="A123" s="1">
        <v>118</v>
      </c>
      <c r="B123" s="69"/>
      <c r="C123" s="69"/>
      <c r="D123" s="26" t="s">
        <v>251</v>
      </c>
      <c r="E123" s="26" t="s">
        <v>1473</v>
      </c>
      <c r="F123" s="26" t="s">
        <v>1474</v>
      </c>
      <c r="G123" s="23" t="s">
        <v>1475</v>
      </c>
      <c r="H123" s="30" t="s">
        <v>1413</v>
      </c>
      <c r="I123" s="23" t="s">
        <v>1476</v>
      </c>
      <c r="J123" s="23" t="s">
        <v>18</v>
      </c>
      <c r="K123" s="23">
        <v>10</v>
      </c>
      <c r="L123" s="23" t="s">
        <v>1477</v>
      </c>
      <c r="M123" s="23" t="s">
        <v>1478</v>
      </c>
      <c r="N123" s="23" t="s">
        <v>1479</v>
      </c>
      <c r="O123" s="23" t="s">
        <v>1480</v>
      </c>
      <c r="P123" s="23" t="s">
        <v>1481</v>
      </c>
      <c r="Q123" s="23" t="s">
        <v>1482</v>
      </c>
      <c r="R123" s="23" t="s">
        <v>1483</v>
      </c>
      <c r="S123" s="31" t="s">
        <v>142</v>
      </c>
      <c r="T123" s="64" t="s">
        <v>1484</v>
      </c>
      <c r="U123" s="56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</row>
    <row r="124" spans="1:44" ht="21" customHeight="1" x14ac:dyDescent="0.2">
      <c r="A124" s="1">
        <v>119</v>
      </c>
      <c r="B124" s="69"/>
      <c r="C124" s="69"/>
      <c r="D124" s="26" t="s">
        <v>280</v>
      </c>
      <c r="E124" s="26" t="s">
        <v>1485</v>
      </c>
      <c r="F124" s="26" t="s">
        <v>1486</v>
      </c>
      <c r="G124" s="23" t="s">
        <v>1487</v>
      </c>
      <c r="H124" s="30" t="s">
        <v>58</v>
      </c>
      <c r="I124" s="23" t="s">
        <v>712</v>
      </c>
      <c r="J124" s="23" t="s">
        <v>18</v>
      </c>
      <c r="K124" s="23">
        <v>10</v>
      </c>
      <c r="L124" s="23" t="s">
        <v>1488</v>
      </c>
      <c r="M124" s="23" t="s">
        <v>714</v>
      </c>
      <c r="N124" s="23" t="s">
        <v>715</v>
      </c>
      <c r="O124" s="23" t="s">
        <v>716</v>
      </c>
      <c r="P124" s="23" t="s">
        <v>717</v>
      </c>
      <c r="Q124" s="23" t="s">
        <v>718</v>
      </c>
      <c r="R124" s="23" t="s">
        <v>1489</v>
      </c>
      <c r="S124" s="31" t="s">
        <v>142</v>
      </c>
      <c r="T124" s="64" t="s">
        <v>76</v>
      </c>
      <c r="U124" s="56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</row>
    <row r="125" spans="1:44" ht="21" customHeight="1" x14ac:dyDescent="0.2">
      <c r="A125" s="1">
        <v>120</v>
      </c>
      <c r="B125" s="55"/>
      <c r="C125" s="55"/>
      <c r="D125" s="26" t="s">
        <v>253</v>
      </c>
      <c r="E125" s="27" t="s">
        <v>1490</v>
      </c>
      <c r="F125" s="27" t="s">
        <v>1491</v>
      </c>
      <c r="G125" s="13" t="s">
        <v>1492</v>
      </c>
      <c r="H125" s="14" t="s">
        <v>894</v>
      </c>
      <c r="I125" s="17" t="s">
        <v>906</v>
      </c>
      <c r="J125" s="13" t="s">
        <v>25</v>
      </c>
      <c r="K125" s="13">
        <v>10</v>
      </c>
      <c r="L125" s="13" t="s">
        <v>1493</v>
      </c>
      <c r="M125" s="13" t="s">
        <v>908</v>
      </c>
      <c r="N125" s="13" t="s">
        <v>909</v>
      </c>
      <c r="O125" s="13" t="s">
        <v>910</v>
      </c>
      <c r="P125" s="13" t="s">
        <v>911</v>
      </c>
      <c r="Q125" s="13" t="s">
        <v>912</v>
      </c>
      <c r="R125" s="13" t="s">
        <v>1494</v>
      </c>
      <c r="S125" s="18" t="s">
        <v>914</v>
      </c>
      <c r="T125" s="58" t="s">
        <v>915</v>
      </c>
      <c r="U125" s="56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</row>
    <row r="126" spans="1:44" ht="21" customHeight="1" x14ac:dyDescent="0.2">
      <c r="A126" s="1">
        <v>121</v>
      </c>
      <c r="B126" s="74" t="str">
        <f>"H11
("&amp;COUNTA(D126:D133)&amp;")"</f>
        <v>H11
(8)</v>
      </c>
      <c r="C126" s="70" t="s">
        <v>1495</v>
      </c>
      <c r="D126" s="51" t="s">
        <v>214</v>
      </c>
      <c r="E126" s="27" t="s">
        <v>1496</v>
      </c>
      <c r="F126" s="27" t="s">
        <v>1497</v>
      </c>
      <c r="G126" s="13" t="s">
        <v>1498</v>
      </c>
      <c r="H126" s="14" t="s">
        <v>22</v>
      </c>
      <c r="I126" s="17" t="s">
        <v>24</v>
      </c>
      <c r="J126" s="13" t="s">
        <v>25</v>
      </c>
      <c r="K126" s="13">
        <v>11</v>
      </c>
      <c r="L126" s="13" t="s">
        <v>1499</v>
      </c>
      <c r="M126" s="13" t="s">
        <v>26</v>
      </c>
      <c r="N126" s="13" t="s">
        <v>27</v>
      </c>
      <c r="O126" s="13" t="s">
        <v>28</v>
      </c>
      <c r="P126" s="13" t="s">
        <v>29</v>
      </c>
      <c r="Q126" s="13" t="s">
        <v>30</v>
      </c>
      <c r="R126" s="13" t="s">
        <v>1500</v>
      </c>
      <c r="S126" s="18" t="s">
        <v>32</v>
      </c>
      <c r="T126" s="58"/>
      <c r="U126" s="56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</row>
    <row r="127" spans="1:44" ht="21" customHeight="1" x14ac:dyDescent="0.2">
      <c r="A127" s="1">
        <v>122</v>
      </c>
      <c r="B127" s="69"/>
      <c r="C127" s="69"/>
      <c r="D127" s="27" t="s">
        <v>235</v>
      </c>
      <c r="E127" s="27" t="s">
        <v>1501</v>
      </c>
      <c r="F127" s="27" t="s">
        <v>1502</v>
      </c>
      <c r="G127" s="13" t="s">
        <v>1503</v>
      </c>
      <c r="H127" s="14" t="s">
        <v>66</v>
      </c>
      <c r="I127" s="17" t="s">
        <v>1504</v>
      </c>
      <c r="J127" s="13" t="s">
        <v>25</v>
      </c>
      <c r="K127" s="13">
        <v>11</v>
      </c>
      <c r="L127" s="13" t="s">
        <v>1505</v>
      </c>
      <c r="M127" s="13" t="s">
        <v>219</v>
      </c>
      <c r="N127" s="13" t="s">
        <v>221</v>
      </c>
      <c r="O127" s="13" t="s">
        <v>1506</v>
      </c>
      <c r="P127" s="13" t="s">
        <v>223</v>
      </c>
      <c r="Q127" s="13" t="s">
        <v>226</v>
      </c>
      <c r="R127" s="13" t="s">
        <v>1507</v>
      </c>
      <c r="S127" s="18" t="s">
        <v>171</v>
      </c>
      <c r="T127" s="58" t="s">
        <v>1021</v>
      </c>
      <c r="U127" s="56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</row>
    <row r="128" spans="1:44" ht="21" customHeight="1" x14ac:dyDescent="0.2">
      <c r="A128" s="1">
        <v>123</v>
      </c>
      <c r="B128" s="69"/>
      <c r="C128" s="69"/>
      <c r="D128" s="26" t="s">
        <v>304</v>
      </c>
      <c r="E128" s="27" t="s">
        <v>1508</v>
      </c>
      <c r="F128" s="27" t="s">
        <v>1509</v>
      </c>
      <c r="G128" s="13" t="s">
        <v>1510</v>
      </c>
      <c r="H128" s="14" t="s">
        <v>1010</v>
      </c>
      <c r="I128" s="17" t="s">
        <v>1011</v>
      </c>
      <c r="J128" s="13" t="s">
        <v>25</v>
      </c>
      <c r="K128" s="13">
        <v>11</v>
      </c>
      <c r="L128" s="13" t="s">
        <v>1511</v>
      </c>
      <c r="M128" s="13" t="s">
        <v>1013</v>
      </c>
      <c r="N128" s="13" t="s">
        <v>1014</v>
      </c>
      <c r="O128" s="13" t="s">
        <v>1015</v>
      </c>
      <c r="P128" s="13" t="s">
        <v>1016</v>
      </c>
      <c r="Q128" s="13" t="s">
        <v>1017</v>
      </c>
      <c r="R128" s="13" t="s">
        <v>1512</v>
      </c>
      <c r="S128" s="18" t="s">
        <v>1019</v>
      </c>
      <c r="T128" s="58" t="s">
        <v>1020</v>
      </c>
      <c r="U128" s="56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</row>
    <row r="129" spans="1:44" ht="21" customHeight="1" x14ac:dyDescent="0.2">
      <c r="A129" s="1">
        <v>124</v>
      </c>
      <c r="B129" s="69"/>
      <c r="C129" s="69"/>
      <c r="D129" s="26" t="s">
        <v>440</v>
      </c>
      <c r="E129" s="27" t="s">
        <v>1513</v>
      </c>
      <c r="F129" s="27" t="s">
        <v>673</v>
      </c>
      <c r="G129" s="13" t="s">
        <v>1514</v>
      </c>
      <c r="H129" s="14" t="s">
        <v>1515</v>
      </c>
      <c r="I129" s="17" t="s">
        <v>1516</v>
      </c>
      <c r="J129" s="13" t="s">
        <v>25</v>
      </c>
      <c r="K129" s="13">
        <v>11</v>
      </c>
      <c r="L129" s="13" t="s">
        <v>1517</v>
      </c>
      <c r="M129" s="13" t="s">
        <v>1518</v>
      </c>
      <c r="N129" s="13" t="s">
        <v>1519</v>
      </c>
      <c r="O129" s="13" t="s">
        <v>1520</v>
      </c>
      <c r="P129" s="13" t="s">
        <v>1521</v>
      </c>
      <c r="Q129" s="13" t="s">
        <v>1522</v>
      </c>
      <c r="R129" s="13"/>
      <c r="S129" s="18" t="s">
        <v>483</v>
      </c>
      <c r="T129" s="58" t="s">
        <v>1523</v>
      </c>
      <c r="U129" s="56"/>
      <c r="V129" s="4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</row>
    <row r="130" spans="1:44" ht="21" customHeight="1" x14ac:dyDescent="0.2">
      <c r="A130" s="1">
        <v>125</v>
      </c>
      <c r="B130" s="69"/>
      <c r="C130" s="69"/>
      <c r="D130" s="26" t="s">
        <v>1524</v>
      </c>
      <c r="E130" s="27" t="s">
        <v>1525</v>
      </c>
      <c r="F130" s="27" t="s">
        <v>1182</v>
      </c>
      <c r="G130" s="13" t="s">
        <v>1526</v>
      </c>
      <c r="H130" s="14" t="s">
        <v>1096</v>
      </c>
      <c r="I130" s="17" t="s">
        <v>1097</v>
      </c>
      <c r="J130" s="13" t="s">
        <v>18</v>
      </c>
      <c r="K130" s="13">
        <v>11</v>
      </c>
      <c r="L130" s="13" t="s">
        <v>1527</v>
      </c>
      <c r="M130" s="13" t="s">
        <v>1099</v>
      </c>
      <c r="N130" s="13" t="s">
        <v>1100</v>
      </c>
      <c r="O130" s="13" t="s">
        <v>1528</v>
      </c>
      <c r="P130" s="13" t="s">
        <v>1102</v>
      </c>
      <c r="Q130" s="13" t="s">
        <v>1103</v>
      </c>
      <c r="R130" s="13" t="s">
        <v>1529</v>
      </c>
      <c r="S130" s="18" t="s">
        <v>1530</v>
      </c>
      <c r="T130" s="58" t="s">
        <v>1105</v>
      </c>
      <c r="U130" s="56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</row>
    <row r="131" spans="1:44" ht="21" customHeight="1" x14ac:dyDescent="0.2">
      <c r="A131" s="1">
        <v>126</v>
      </c>
      <c r="B131" s="69"/>
      <c r="C131" s="69"/>
      <c r="D131" s="29" t="s">
        <v>1531</v>
      </c>
      <c r="E131" s="27" t="s">
        <v>1532</v>
      </c>
      <c r="F131" s="27" t="s">
        <v>1533</v>
      </c>
      <c r="G131" s="13" t="s">
        <v>1534</v>
      </c>
      <c r="H131" s="14" t="s">
        <v>542</v>
      </c>
      <c r="I131" s="36" t="s">
        <v>1535</v>
      </c>
      <c r="J131" s="13" t="s">
        <v>18</v>
      </c>
      <c r="K131" s="13">
        <v>11</v>
      </c>
      <c r="L131" s="13" t="s">
        <v>1536</v>
      </c>
      <c r="M131" s="13" t="s">
        <v>1537</v>
      </c>
      <c r="N131" s="13" t="s">
        <v>1538</v>
      </c>
      <c r="O131" s="13" t="s">
        <v>1539</v>
      </c>
      <c r="P131" s="13" t="s">
        <v>1540</v>
      </c>
      <c r="Q131" s="13" t="s">
        <v>1541</v>
      </c>
      <c r="R131" s="13" t="s">
        <v>1542</v>
      </c>
      <c r="S131" s="18" t="s">
        <v>1543</v>
      </c>
      <c r="T131" s="58" t="s">
        <v>1544</v>
      </c>
      <c r="U131" s="56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</row>
    <row r="132" spans="1:44" ht="21" customHeight="1" x14ac:dyDescent="0.2">
      <c r="A132" s="1">
        <v>127</v>
      </c>
      <c r="B132" s="69"/>
      <c r="C132" s="69"/>
      <c r="D132" s="29" t="s">
        <v>252</v>
      </c>
      <c r="E132" s="26" t="s">
        <v>1545</v>
      </c>
      <c r="F132" s="26" t="s">
        <v>1546</v>
      </c>
      <c r="G132" s="23" t="s">
        <v>1547</v>
      </c>
      <c r="H132" s="30" t="s">
        <v>1548</v>
      </c>
      <c r="I132" s="23" t="s">
        <v>1549</v>
      </c>
      <c r="J132" s="23" t="s">
        <v>25</v>
      </c>
      <c r="K132" s="23">
        <v>11</v>
      </c>
      <c r="L132" s="23" t="s">
        <v>1550</v>
      </c>
      <c r="M132" s="23" t="s">
        <v>1551</v>
      </c>
      <c r="N132" s="23" t="s">
        <v>1552</v>
      </c>
      <c r="O132" s="23" t="s">
        <v>1553</v>
      </c>
      <c r="P132" s="23" t="s">
        <v>1554</v>
      </c>
      <c r="Q132" s="23" t="s">
        <v>1555</v>
      </c>
      <c r="R132" s="44"/>
      <c r="S132" s="31" t="s">
        <v>142</v>
      </c>
      <c r="T132" s="64" t="s">
        <v>316</v>
      </c>
      <c r="U132" s="56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</row>
    <row r="133" spans="1:44" ht="21" customHeight="1" x14ac:dyDescent="0.2">
      <c r="A133" s="1">
        <v>128</v>
      </c>
      <c r="B133" s="55"/>
      <c r="C133" s="55"/>
      <c r="D133" s="26" t="s">
        <v>1556</v>
      </c>
      <c r="E133" s="27" t="s">
        <v>1557</v>
      </c>
      <c r="F133" s="27" t="s">
        <v>1558</v>
      </c>
      <c r="G133" s="13" t="s">
        <v>1559</v>
      </c>
      <c r="H133" s="14" t="s">
        <v>238</v>
      </c>
      <c r="I133" s="17" t="s">
        <v>1560</v>
      </c>
      <c r="J133" s="13" t="s">
        <v>18</v>
      </c>
      <c r="K133" s="13">
        <v>11</v>
      </c>
      <c r="L133" s="13" t="s">
        <v>1561</v>
      </c>
      <c r="M133" s="13"/>
      <c r="N133" s="13" t="s">
        <v>1562</v>
      </c>
      <c r="O133" s="13" t="s">
        <v>1563</v>
      </c>
      <c r="P133" s="13"/>
      <c r="Q133" s="13" t="s">
        <v>1564</v>
      </c>
      <c r="R133" s="13" t="s">
        <v>1565</v>
      </c>
      <c r="S133" s="24" t="s">
        <v>56</v>
      </c>
      <c r="T133" s="58" t="s">
        <v>1566</v>
      </c>
      <c r="U133" s="56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</row>
    <row r="134" spans="1:44" ht="21" customHeight="1" x14ac:dyDescent="0.2">
      <c r="A134" s="1">
        <v>129</v>
      </c>
      <c r="B134" s="74" t="str">
        <f>"H12
("&amp;COUNTA(D134:D150)&amp;")"</f>
        <v>H12
(17)</v>
      </c>
      <c r="C134" s="70" t="s">
        <v>1568</v>
      </c>
      <c r="D134" s="51" t="s">
        <v>1569</v>
      </c>
      <c r="E134" s="27" t="s">
        <v>1570</v>
      </c>
      <c r="F134" s="27" t="s">
        <v>1571</v>
      </c>
      <c r="G134" s="13" t="s">
        <v>1572</v>
      </c>
      <c r="H134" s="14" t="s">
        <v>239</v>
      </c>
      <c r="I134" s="17" t="s">
        <v>1573</v>
      </c>
      <c r="J134" s="13" t="s">
        <v>25</v>
      </c>
      <c r="K134" s="13">
        <v>12</v>
      </c>
      <c r="L134" s="17" t="s">
        <v>1574</v>
      </c>
      <c r="M134" s="13" t="s">
        <v>260</v>
      </c>
      <c r="N134" s="13" t="s">
        <v>263</v>
      </c>
      <c r="O134" s="13" t="s">
        <v>265</v>
      </c>
      <c r="P134" s="13" t="s">
        <v>1575</v>
      </c>
      <c r="Q134" s="13" t="s">
        <v>268</v>
      </c>
      <c r="R134" s="13" t="s">
        <v>31</v>
      </c>
      <c r="S134" s="18" t="s">
        <v>32</v>
      </c>
      <c r="T134" s="58"/>
      <c r="U134" s="56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</row>
    <row r="135" spans="1:44" ht="21" customHeight="1" x14ac:dyDescent="0.2">
      <c r="A135" s="1">
        <v>130</v>
      </c>
      <c r="B135" s="69"/>
      <c r="C135" s="69"/>
      <c r="D135" s="51" t="s">
        <v>1576</v>
      </c>
      <c r="E135" s="27" t="s">
        <v>1577</v>
      </c>
      <c r="F135" s="27" t="s">
        <v>523</v>
      </c>
      <c r="G135" s="13" t="s">
        <v>1578</v>
      </c>
      <c r="H135" s="14" t="s">
        <v>590</v>
      </c>
      <c r="I135" s="17" t="s">
        <v>1579</v>
      </c>
      <c r="J135" s="13" t="s">
        <v>18</v>
      </c>
      <c r="K135" s="13">
        <v>12</v>
      </c>
      <c r="L135" s="17" t="s">
        <v>1580</v>
      </c>
      <c r="M135" s="13" t="s">
        <v>591</v>
      </c>
      <c r="N135" s="13" t="s">
        <v>592</v>
      </c>
      <c r="O135" s="13" t="s">
        <v>593</v>
      </c>
      <c r="P135" s="13" t="s">
        <v>594</v>
      </c>
      <c r="Q135" s="13" t="s">
        <v>595</v>
      </c>
      <c r="R135" s="13" t="s">
        <v>1581</v>
      </c>
      <c r="S135" s="18" t="s">
        <v>32</v>
      </c>
      <c r="T135" s="58" t="s">
        <v>1582</v>
      </c>
      <c r="U135" s="56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</row>
    <row r="136" spans="1:44" ht="21" customHeight="1" x14ac:dyDescent="0.2">
      <c r="A136" s="1">
        <v>131</v>
      </c>
      <c r="B136" s="69"/>
      <c r="C136" s="69"/>
      <c r="D136" s="27" t="s">
        <v>1583</v>
      </c>
      <c r="E136" s="27" t="s">
        <v>1584</v>
      </c>
      <c r="F136" s="27" t="s">
        <v>731</v>
      </c>
      <c r="G136" s="13" t="s">
        <v>1585</v>
      </c>
      <c r="H136" s="14" t="s">
        <v>1586</v>
      </c>
      <c r="I136" s="17" t="s">
        <v>1587</v>
      </c>
      <c r="J136" s="13" t="s">
        <v>18</v>
      </c>
      <c r="K136" s="13">
        <v>12</v>
      </c>
      <c r="L136" s="17" t="s">
        <v>1588</v>
      </c>
      <c r="M136" s="13" t="s">
        <v>1589</v>
      </c>
      <c r="N136" s="13" t="s">
        <v>1590</v>
      </c>
      <c r="O136" s="13" t="s">
        <v>1591</v>
      </c>
      <c r="P136" s="13" t="s">
        <v>1592</v>
      </c>
      <c r="Q136" s="13" t="s">
        <v>1593</v>
      </c>
      <c r="R136" s="13" t="s">
        <v>1594</v>
      </c>
      <c r="S136" s="18" t="s">
        <v>88</v>
      </c>
      <c r="T136" s="58" t="s">
        <v>1315</v>
      </c>
      <c r="U136" s="56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</row>
    <row r="137" spans="1:44" ht="21" customHeight="1" x14ac:dyDescent="0.2">
      <c r="A137" s="1">
        <v>132</v>
      </c>
      <c r="B137" s="69"/>
      <c r="C137" s="69"/>
      <c r="D137" s="27" t="s">
        <v>1595</v>
      </c>
      <c r="E137" s="27" t="s">
        <v>1596</v>
      </c>
      <c r="F137" s="27" t="s">
        <v>377</v>
      </c>
      <c r="G137" s="13" t="s">
        <v>1597</v>
      </c>
      <c r="H137" s="14" t="s">
        <v>1598</v>
      </c>
      <c r="I137" s="17" t="s">
        <v>1599</v>
      </c>
      <c r="J137" s="13" t="s">
        <v>25</v>
      </c>
      <c r="K137" s="13">
        <v>12</v>
      </c>
      <c r="L137" s="17" t="s">
        <v>1600</v>
      </c>
      <c r="M137" s="13" t="s">
        <v>1601</v>
      </c>
      <c r="N137" s="13" t="s">
        <v>1602</v>
      </c>
      <c r="O137" s="13" t="s">
        <v>1603</v>
      </c>
      <c r="P137" s="13" t="s">
        <v>1604</v>
      </c>
      <c r="Q137" s="13" t="s">
        <v>1605</v>
      </c>
      <c r="R137" s="13" t="s">
        <v>1606</v>
      </c>
      <c r="S137" s="18" t="s">
        <v>88</v>
      </c>
      <c r="T137" s="58" t="s">
        <v>1607</v>
      </c>
      <c r="U137" s="56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</row>
    <row r="138" spans="1:44" ht="21" customHeight="1" x14ac:dyDescent="0.2">
      <c r="A138" s="1">
        <v>133</v>
      </c>
      <c r="B138" s="69"/>
      <c r="C138" s="69"/>
      <c r="D138" s="53" t="s">
        <v>290</v>
      </c>
      <c r="E138" s="27" t="s">
        <v>1608</v>
      </c>
      <c r="F138" s="27" t="s">
        <v>1609</v>
      </c>
      <c r="G138" s="13" t="s">
        <v>1610</v>
      </c>
      <c r="H138" s="14" t="s">
        <v>39</v>
      </c>
      <c r="I138" s="17" t="s">
        <v>1172</v>
      </c>
      <c r="J138" s="13" t="s">
        <v>18</v>
      </c>
      <c r="K138" s="13">
        <v>12</v>
      </c>
      <c r="L138" s="17" t="s">
        <v>1611</v>
      </c>
      <c r="M138" s="13" t="s">
        <v>1174</v>
      </c>
      <c r="N138" s="13" t="s">
        <v>1175</v>
      </c>
      <c r="O138" s="13" t="s">
        <v>1176</v>
      </c>
      <c r="P138" s="13" t="s">
        <v>1177</v>
      </c>
      <c r="Q138" s="13" t="s">
        <v>1178</v>
      </c>
      <c r="R138" s="13" t="s">
        <v>1612</v>
      </c>
      <c r="S138" s="18" t="s">
        <v>578</v>
      </c>
      <c r="T138" s="58" t="s">
        <v>1736</v>
      </c>
      <c r="U138" s="56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</row>
    <row r="139" spans="1:44" ht="21" customHeight="1" x14ac:dyDescent="0.2">
      <c r="A139" s="1">
        <v>134</v>
      </c>
      <c r="B139" s="69"/>
      <c r="C139" s="69"/>
      <c r="D139" s="26" t="s">
        <v>383</v>
      </c>
      <c r="E139" s="27" t="s">
        <v>1613</v>
      </c>
      <c r="F139" s="27" t="s">
        <v>443</v>
      </c>
      <c r="G139" s="13" t="s">
        <v>1614</v>
      </c>
      <c r="H139" s="14" t="s">
        <v>1383</v>
      </c>
      <c r="I139" s="17" t="s">
        <v>1384</v>
      </c>
      <c r="J139" s="13" t="s">
        <v>18</v>
      </c>
      <c r="K139" s="13">
        <v>12</v>
      </c>
      <c r="L139" s="17" t="s">
        <v>1600</v>
      </c>
      <c r="M139" s="13" t="s">
        <v>1385</v>
      </c>
      <c r="N139" s="13" t="s">
        <v>1386</v>
      </c>
      <c r="O139" s="13" t="s">
        <v>1387</v>
      </c>
      <c r="P139" s="13" t="s">
        <v>1388</v>
      </c>
      <c r="Q139" s="13" t="s">
        <v>1389</v>
      </c>
      <c r="R139" s="13" t="s">
        <v>1615</v>
      </c>
      <c r="S139" s="18" t="s">
        <v>49</v>
      </c>
      <c r="T139" s="58" t="s">
        <v>1616</v>
      </c>
      <c r="U139" s="56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</row>
    <row r="140" spans="1:44" ht="21" customHeight="1" x14ac:dyDescent="0.2">
      <c r="A140" s="1">
        <v>135</v>
      </c>
      <c r="B140" s="69"/>
      <c r="C140" s="69"/>
      <c r="D140" s="26" t="s">
        <v>1617</v>
      </c>
      <c r="E140" s="27" t="s">
        <v>1618</v>
      </c>
      <c r="F140" s="27" t="s">
        <v>1619</v>
      </c>
      <c r="G140" s="13" t="s">
        <v>1620</v>
      </c>
      <c r="H140" s="14" t="s">
        <v>22</v>
      </c>
      <c r="I140" s="17" t="s">
        <v>1621</v>
      </c>
      <c r="J140" s="13" t="s">
        <v>25</v>
      </c>
      <c r="K140" s="13">
        <v>12</v>
      </c>
      <c r="L140" s="17" t="s">
        <v>1622</v>
      </c>
      <c r="M140" s="13" t="s">
        <v>1623</v>
      </c>
      <c r="N140" s="13" t="s">
        <v>1567</v>
      </c>
      <c r="O140" s="13" t="s">
        <v>1624</v>
      </c>
      <c r="P140" s="13" t="s">
        <v>1625</v>
      </c>
      <c r="Q140" s="13" t="s">
        <v>1626</v>
      </c>
      <c r="R140" s="13" t="s">
        <v>1627</v>
      </c>
      <c r="S140" s="18" t="s">
        <v>1341</v>
      </c>
      <c r="T140" s="58" t="s">
        <v>1628</v>
      </c>
      <c r="U140" s="56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</row>
    <row r="141" spans="1:44" ht="21" customHeight="1" x14ac:dyDescent="0.2">
      <c r="A141" s="1">
        <v>136</v>
      </c>
      <c r="B141" s="69"/>
      <c r="C141" s="69"/>
      <c r="D141" s="26" t="s">
        <v>1629</v>
      </c>
      <c r="E141" s="27" t="s">
        <v>1630</v>
      </c>
      <c r="F141" s="27" t="s">
        <v>334</v>
      </c>
      <c r="G141" s="13" t="s">
        <v>1631</v>
      </c>
      <c r="H141" s="14" t="s">
        <v>1632</v>
      </c>
      <c r="I141" s="17" t="s">
        <v>1633</v>
      </c>
      <c r="J141" s="13" t="s">
        <v>18</v>
      </c>
      <c r="K141" s="13">
        <v>12</v>
      </c>
      <c r="L141" s="17" t="s">
        <v>1634</v>
      </c>
      <c r="M141" s="13" t="s">
        <v>1635</v>
      </c>
      <c r="N141" s="13" t="s">
        <v>1636</v>
      </c>
      <c r="O141" s="13" t="s">
        <v>1637</v>
      </c>
      <c r="P141" s="13" t="s">
        <v>1638</v>
      </c>
      <c r="Q141" s="13" t="s">
        <v>1639</v>
      </c>
      <c r="R141" s="13" t="s">
        <v>1640</v>
      </c>
      <c r="S141" s="18" t="s">
        <v>1641</v>
      </c>
      <c r="T141" s="58" t="s">
        <v>1642</v>
      </c>
      <c r="U141" s="56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</row>
    <row r="142" spans="1:44" ht="21" customHeight="1" x14ac:dyDescent="0.2">
      <c r="A142" s="1">
        <v>137</v>
      </c>
      <c r="B142" s="69"/>
      <c r="C142" s="69"/>
      <c r="D142" s="26" t="s">
        <v>1643</v>
      </c>
      <c r="E142" s="50" t="s">
        <v>1644</v>
      </c>
      <c r="F142" s="50" t="s">
        <v>217</v>
      </c>
      <c r="G142" s="41" t="s">
        <v>1645</v>
      </c>
      <c r="H142" s="42" t="s">
        <v>273</v>
      </c>
      <c r="I142" s="48" t="s">
        <v>1646</v>
      </c>
      <c r="J142" s="41" t="s">
        <v>25</v>
      </c>
      <c r="K142" s="13">
        <v>12</v>
      </c>
      <c r="L142" s="48" t="s">
        <v>1647</v>
      </c>
      <c r="M142" s="41" t="s">
        <v>1648</v>
      </c>
      <c r="N142" s="41" t="s">
        <v>1649</v>
      </c>
      <c r="O142" s="41" t="s">
        <v>1650</v>
      </c>
      <c r="P142" s="41" t="s">
        <v>1651</v>
      </c>
      <c r="Q142" s="41" t="s">
        <v>1652</v>
      </c>
      <c r="R142" s="41" t="s">
        <v>1653</v>
      </c>
      <c r="S142" s="52" t="s">
        <v>1654</v>
      </c>
      <c r="T142" s="59" t="s">
        <v>1655</v>
      </c>
      <c r="U142" s="56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</row>
    <row r="143" spans="1:44" ht="21" customHeight="1" x14ac:dyDescent="0.2">
      <c r="A143" s="1">
        <v>138</v>
      </c>
      <c r="B143" s="69"/>
      <c r="C143" s="69"/>
      <c r="D143" s="29" t="s">
        <v>447</v>
      </c>
      <c r="E143" s="50" t="s">
        <v>1656</v>
      </c>
      <c r="F143" s="50" t="s">
        <v>1657</v>
      </c>
      <c r="G143" s="41" t="s">
        <v>1658</v>
      </c>
      <c r="H143" s="42" t="s">
        <v>1209</v>
      </c>
      <c r="I143" s="48" t="s">
        <v>1659</v>
      </c>
      <c r="J143" s="41" t="s">
        <v>18</v>
      </c>
      <c r="K143" s="13">
        <v>12</v>
      </c>
      <c r="L143" s="48" t="s">
        <v>1660</v>
      </c>
      <c r="M143" s="41" t="s">
        <v>1212</v>
      </c>
      <c r="N143" s="41" t="s">
        <v>1213</v>
      </c>
      <c r="O143" s="41" t="s">
        <v>1661</v>
      </c>
      <c r="P143" s="41" t="s">
        <v>1215</v>
      </c>
      <c r="Q143" s="41" t="s">
        <v>1216</v>
      </c>
      <c r="R143" s="41" t="s">
        <v>1662</v>
      </c>
      <c r="S143" s="52" t="s">
        <v>483</v>
      </c>
      <c r="T143" s="59" t="s">
        <v>1663</v>
      </c>
      <c r="U143" s="56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</row>
    <row r="144" spans="1:44" ht="21" customHeight="1" x14ac:dyDescent="0.2">
      <c r="A144" s="1">
        <v>139</v>
      </c>
      <c r="B144" s="69"/>
      <c r="C144" s="69"/>
      <c r="D144" s="26" t="s">
        <v>439</v>
      </c>
      <c r="E144" s="50" t="s">
        <v>1664</v>
      </c>
      <c r="F144" s="50" t="s">
        <v>350</v>
      </c>
      <c r="G144" s="41" t="s">
        <v>1665</v>
      </c>
      <c r="H144" s="42" t="s">
        <v>1515</v>
      </c>
      <c r="I144" s="48" t="s">
        <v>1516</v>
      </c>
      <c r="J144" s="41" t="s">
        <v>18</v>
      </c>
      <c r="K144" s="13">
        <v>12</v>
      </c>
      <c r="L144" s="48" t="s">
        <v>1666</v>
      </c>
      <c r="M144" s="41" t="s">
        <v>1518</v>
      </c>
      <c r="N144" s="41" t="s">
        <v>1519</v>
      </c>
      <c r="O144" s="13" t="s">
        <v>1520</v>
      </c>
      <c r="P144" s="41" t="s">
        <v>1521</v>
      </c>
      <c r="Q144" s="41" t="s">
        <v>1522</v>
      </c>
      <c r="R144" s="41" t="s">
        <v>1667</v>
      </c>
      <c r="S144" s="52" t="s">
        <v>483</v>
      </c>
      <c r="T144" s="59" t="s">
        <v>1523</v>
      </c>
      <c r="U144" s="56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</row>
    <row r="145" spans="1:44" ht="21" customHeight="1" x14ac:dyDescent="0.2">
      <c r="A145" s="1">
        <v>140</v>
      </c>
      <c r="B145" s="69"/>
      <c r="C145" s="69"/>
      <c r="D145" s="29" t="s">
        <v>1669</v>
      </c>
      <c r="E145" s="50" t="s">
        <v>1670</v>
      </c>
      <c r="F145" s="50" t="s">
        <v>1671</v>
      </c>
      <c r="G145" s="41" t="s">
        <v>1672</v>
      </c>
      <c r="H145" s="42" t="s">
        <v>1375</v>
      </c>
      <c r="I145" s="48" t="s">
        <v>1673</v>
      </c>
      <c r="J145" s="41" t="s">
        <v>18</v>
      </c>
      <c r="K145" s="13">
        <v>12</v>
      </c>
      <c r="L145" s="41" t="s">
        <v>1674</v>
      </c>
      <c r="M145" s="41" t="s">
        <v>1675</v>
      </c>
      <c r="N145" s="41" t="s">
        <v>1676</v>
      </c>
      <c r="O145" s="41" t="s">
        <v>1677</v>
      </c>
      <c r="P145" s="41" t="s">
        <v>1678</v>
      </c>
      <c r="Q145" s="41" t="s">
        <v>1679</v>
      </c>
      <c r="R145" s="41" t="s">
        <v>1680</v>
      </c>
      <c r="S145" s="52" t="s">
        <v>1681</v>
      </c>
      <c r="T145" s="59" t="s">
        <v>1682</v>
      </c>
      <c r="U145" s="56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</row>
    <row r="146" spans="1:44" ht="21" customHeight="1" x14ac:dyDescent="0.2">
      <c r="A146" s="1">
        <v>141</v>
      </c>
      <c r="B146" s="69"/>
      <c r="C146" s="69"/>
      <c r="D146" s="26" t="s">
        <v>1683</v>
      </c>
      <c r="E146" s="27" t="s">
        <v>1684</v>
      </c>
      <c r="F146" s="27" t="s">
        <v>1685</v>
      </c>
      <c r="G146" s="13" t="s">
        <v>1686</v>
      </c>
      <c r="H146" s="14" t="s">
        <v>1687</v>
      </c>
      <c r="I146" s="17" t="s">
        <v>1688</v>
      </c>
      <c r="J146" s="13" t="s">
        <v>25</v>
      </c>
      <c r="K146" s="13">
        <v>12</v>
      </c>
      <c r="L146" s="13" t="s">
        <v>1689</v>
      </c>
      <c r="M146" s="13" t="s">
        <v>1690</v>
      </c>
      <c r="N146" s="13" t="s">
        <v>1691</v>
      </c>
      <c r="O146" s="13" t="s">
        <v>1692</v>
      </c>
      <c r="P146" s="13" t="s">
        <v>1693</v>
      </c>
      <c r="Q146" s="13" t="s">
        <v>1694</v>
      </c>
      <c r="R146" s="13" t="s">
        <v>1695</v>
      </c>
      <c r="S146" s="18" t="s">
        <v>75</v>
      </c>
      <c r="T146" s="58" t="s">
        <v>1696</v>
      </c>
      <c r="U146" s="56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</row>
    <row r="147" spans="1:44" ht="21" customHeight="1" x14ac:dyDescent="0.2">
      <c r="A147" s="1">
        <v>142</v>
      </c>
      <c r="B147" s="69"/>
      <c r="C147" s="69"/>
      <c r="D147" s="26" t="s">
        <v>1697</v>
      </c>
      <c r="E147" s="27" t="s">
        <v>1698</v>
      </c>
      <c r="F147" s="27" t="s">
        <v>334</v>
      </c>
      <c r="G147" s="13" t="s">
        <v>1699</v>
      </c>
      <c r="H147" s="14" t="s">
        <v>336</v>
      </c>
      <c r="I147" s="17" t="s">
        <v>1700</v>
      </c>
      <c r="J147" s="13" t="s">
        <v>18</v>
      </c>
      <c r="K147" s="13">
        <v>12</v>
      </c>
      <c r="L147" s="13" t="s">
        <v>1701</v>
      </c>
      <c r="M147" s="13" t="s">
        <v>1702</v>
      </c>
      <c r="N147" s="13" t="s">
        <v>1703</v>
      </c>
      <c r="O147" s="13" t="s">
        <v>1704</v>
      </c>
      <c r="P147" s="13" t="s">
        <v>1705</v>
      </c>
      <c r="Q147" s="13" t="s">
        <v>1706</v>
      </c>
      <c r="R147" s="13" t="s">
        <v>1707</v>
      </c>
      <c r="S147" s="18" t="s">
        <v>1708</v>
      </c>
      <c r="T147" s="58" t="s">
        <v>1709</v>
      </c>
      <c r="U147" s="56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</row>
    <row r="148" spans="1:44" ht="21" customHeight="1" x14ac:dyDescent="0.2">
      <c r="A148" s="1">
        <v>143</v>
      </c>
      <c r="B148" s="69"/>
      <c r="C148" s="69"/>
      <c r="D148" s="26" t="s">
        <v>1710</v>
      </c>
      <c r="E148" s="27" t="s">
        <v>1711</v>
      </c>
      <c r="F148" s="27" t="s">
        <v>232</v>
      </c>
      <c r="G148" s="13" t="s">
        <v>1712</v>
      </c>
      <c r="H148" s="14" t="s">
        <v>1713</v>
      </c>
      <c r="I148" s="17" t="s">
        <v>1714</v>
      </c>
      <c r="J148" s="13" t="s">
        <v>25</v>
      </c>
      <c r="K148" s="13">
        <v>12</v>
      </c>
      <c r="L148" s="17" t="s">
        <v>1715</v>
      </c>
      <c r="M148" s="13" t="s">
        <v>1716</v>
      </c>
      <c r="N148" s="13" t="s">
        <v>1717</v>
      </c>
      <c r="O148" s="13" t="s">
        <v>1718</v>
      </c>
      <c r="P148" s="13" t="s">
        <v>1719</v>
      </c>
      <c r="Q148" s="13" t="s">
        <v>1720</v>
      </c>
      <c r="R148" s="13" t="s">
        <v>1721</v>
      </c>
      <c r="S148" s="18" t="s">
        <v>483</v>
      </c>
      <c r="T148" s="58" t="s">
        <v>1668</v>
      </c>
      <c r="U148" s="56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</row>
    <row r="149" spans="1:44" ht="21" customHeight="1" x14ac:dyDescent="0.2">
      <c r="A149" s="1">
        <v>144</v>
      </c>
      <c r="B149" s="69"/>
      <c r="C149" s="69"/>
      <c r="D149" s="26" t="s">
        <v>455</v>
      </c>
      <c r="E149" s="27" t="s">
        <v>1722</v>
      </c>
      <c r="F149" s="27" t="s">
        <v>791</v>
      </c>
      <c r="G149" s="13" t="s">
        <v>1723</v>
      </c>
      <c r="H149" s="14" t="s">
        <v>162</v>
      </c>
      <c r="I149" s="17" t="s">
        <v>700</v>
      </c>
      <c r="J149" s="13" t="s">
        <v>18</v>
      </c>
      <c r="K149" s="13">
        <v>12</v>
      </c>
      <c r="L149" s="13" t="s">
        <v>1724</v>
      </c>
      <c r="M149" s="13" t="s">
        <v>702</v>
      </c>
      <c r="N149" s="13" t="s">
        <v>703</v>
      </c>
      <c r="O149" s="13" t="s">
        <v>704</v>
      </c>
      <c r="P149" s="13" t="s">
        <v>705</v>
      </c>
      <c r="Q149" s="13" t="s">
        <v>706</v>
      </c>
      <c r="R149" s="13" t="s">
        <v>1725</v>
      </c>
      <c r="S149" s="18" t="s">
        <v>1726</v>
      </c>
      <c r="T149" s="58" t="s">
        <v>1727</v>
      </c>
      <c r="U149" s="56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</row>
    <row r="150" spans="1:44" ht="21" customHeight="1" x14ac:dyDescent="0.2">
      <c r="A150" s="1">
        <v>145</v>
      </c>
      <c r="B150" s="55"/>
      <c r="C150" s="55"/>
      <c r="D150" s="26" t="s">
        <v>185</v>
      </c>
      <c r="E150" s="27" t="s">
        <v>1728</v>
      </c>
      <c r="F150" s="27" t="s">
        <v>731</v>
      </c>
      <c r="G150" s="13" t="s">
        <v>1729</v>
      </c>
      <c r="H150" s="14" t="s">
        <v>336</v>
      </c>
      <c r="I150" s="17" t="s">
        <v>1730</v>
      </c>
      <c r="J150" s="13" t="s">
        <v>18</v>
      </c>
      <c r="K150" s="13">
        <v>12</v>
      </c>
      <c r="L150" s="13" t="s">
        <v>1731</v>
      </c>
      <c r="M150" s="13" t="s">
        <v>342</v>
      </c>
      <c r="N150" s="13" t="s">
        <v>343</v>
      </c>
      <c r="O150" s="13" t="s">
        <v>344</v>
      </c>
      <c r="P150" s="13" t="s">
        <v>346</v>
      </c>
      <c r="Q150" s="13" t="s">
        <v>348</v>
      </c>
      <c r="R150" s="13" t="s">
        <v>1732</v>
      </c>
      <c r="S150" s="18" t="s">
        <v>56</v>
      </c>
      <c r="T150" s="58" t="s">
        <v>1733</v>
      </c>
      <c r="U150" s="56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</row>
    <row r="151" spans="1:44" ht="15.75" customHeight="1" x14ac:dyDescent="0.2"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</row>
    <row r="152" spans="1:44" ht="15.75" customHeight="1" x14ac:dyDescent="0.2"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</row>
    <row r="153" spans="1:44" ht="15.75" customHeight="1" x14ac:dyDescent="0.2"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</row>
    <row r="154" spans="1:44" ht="15.75" customHeight="1" x14ac:dyDescent="0.2"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</row>
    <row r="155" spans="1:44" ht="15.75" customHeight="1" x14ac:dyDescent="0.2"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</row>
    <row r="156" spans="1:44" ht="15.75" customHeight="1" x14ac:dyDescent="0.2"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</row>
    <row r="157" spans="1:44" ht="15.75" customHeight="1" x14ac:dyDescent="0.2"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</row>
    <row r="158" spans="1:44" ht="15.75" customHeight="1" x14ac:dyDescent="0.2"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</row>
    <row r="159" spans="1:44" ht="15.75" customHeight="1" x14ac:dyDescent="0.2"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</row>
    <row r="160" spans="1:44" ht="15.75" customHeight="1" x14ac:dyDescent="0.2"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</row>
    <row r="161" spans="4:21" ht="15.75" customHeight="1" x14ac:dyDescent="0.2"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</row>
    <row r="162" spans="4:21" ht="15.75" customHeight="1" x14ac:dyDescent="0.2"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</row>
    <row r="163" spans="4:21" ht="15.75" customHeight="1" x14ac:dyDescent="0.2"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</row>
    <row r="164" spans="4:21" ht="15.75" customHeight="1" x14ac:dyDescent="0.2"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</row>
    <row r="165" spans="4:21" ht="15.75" customHeight="1" x14ac:dyDescent="0.2"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</row>
    <row r="166" spans="4:21" ht="15.75" customHeight="1" x14ac:dyDescent="0.2"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</row>
    <row r="167" spans="4:21" ht="15.75" customHeight="1" x14ac:dyDescent="0.2"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</row>
    <row r="168" spans="4:21" ht="15.75" customHeight="1" x14ac:dyDescent="0.2"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</row>
    <row r="169" spans="4:21" ht="15.75" customHeight="1" x14ac:dyDescent="0.2"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</row>
    <row r="170" spans="4:21" ht="15.75" customHeight="1" x14ac:dyDescent="0.2"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</row>
    <row r="171" spans="4:21" ht="15.75" customHeight="1" x14ac:dyDescent="0.2"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</row>
    <row r="172" spans="4:21" ht="15.75" customHeight="1" x14ac:dyDescent="0.2"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</row>
    <row r="173" spans="4:21" ht="15.75" customHeight="1" x14ac:dyDescent="0.2"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</row>
    <row r="174" spans="4:21" ht="15.75" customHeight="1" x14ac:dyDescent="0.2"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</row>
    <row r="175" spans="4:21" ht="15.75" customHeight="1" x14ac:dyDescent="0.2"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</row>
    <row r="176" spans="4:21" ht="15.75" customHeight="1" x14ac:dyDescent="0.2"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</row>
    <row r="177" spans="4:21" ht="15.75" customHeight="1" x14ac:dyDescent="0.2"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</row>
    <row r="178" spans="4:21" ht="15.75" customHeight="1" x14ac:dyDescent="0.2"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</row>
    <row r="179" spans="4:21" ht="15.75" customHeight="1" x14ac:dyDescent="0.2"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</row>
    <row r="180" spans="4:21" ht="15.75" customHeight="1" x14ac:dyDescent="0.2"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</row>
    <row r="181" spans="4:21" ht="15.75" customHeight="1" x14ac:dyDescent="0.2"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</row>
    <row r="182" spans="4:21" ht="15.75" customHeight="1" x14ac:dyDescent="0.2"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</row>
    <row r="183" spans="4:21" ht="15.75" customHeight="1" x14ac:dyDescent="0.2"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</row>
    <row r="184" spans="4:21" ht="15.75" customHeight="1" x14ac:dyDescent="0.2"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</row>
    <row r="185" spans="4:21" ht="15.75" customHeight="1" x14ac:dyDescent="0.2"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</row>
    <row r="186" spans="4:21" ht="15.75" customHeight="1" x14ac:dyDescent="0.2"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</row>
    <row r="187" spans="4:21" ht="15.75" customHeight="1" x14ac:dyDescent="0.2"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</row>
    <row r="188" spans="4:21" ht="15.75" customHeight="1" x14ac:dyDescent="0.2"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</row>
    <row r="189" spans="4:21" ht="15.75" customHeight="1" x14ac:dyDescent="0.2"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</row>
    <row r="190" spans="4:21" ht="15.75" customHeight="1" x14ac:dyDescent="0.2"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</row>
    <row r="191" spans="4:21" ht="15.75" customHeight="1" x14ac:dyDescent="0.2"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</row>
    <row r="192" spans="4:21" ht="15.75" customHeight="1" x14ac:dyDescent="0.2"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</row>
    <row r="193" spans="4:21" ht="15.75" customHeight="1" x14ac:dyDescent="0.2"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</row>
    <row r="194" spans="4:21" ht="15.75" customHeight="1" x14ac:dyDescent="0.2"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</row>
    <row r="195" spans="4:21" ht="15.75" customHeight="1" x14ac:dyDescent="0.2"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</row>
    <row r="196" spans="4:21" ht="15.75" customHeight="1" x14ac:dyDescent="0.2"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</row>
    <row r="197" spans="4:21" ht="15.75" customHeight="1" x14ac:dyDescent="0.2"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</row>
    <row r="198" spans="4:21" ht="15.75" customHeight="1" x14ac:dyDescent="0.2"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</row>
    <row r="199" spans="4:21" ht="15.75" customHeight="1" x14ac:dyDescent="0.2"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</row>
    <row r="200" spans="4:21" ht="15.75" customHeight="1" x14ac:dyDescent="0.2"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</row>
    <row r="201" spans="4:21" ht="15.75" customHeight="1" x14ac:dyDescent="0.2"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</row>
    <row r="202" spans="4:21" ht="15.75" customHeight="1" x14ac:dyDescent="0.2"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</row>
    <row r="203" spans="4:21" ht="15.75" customHeight="1" x14ac:dyDescent="0.2"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</row>
    <row r="204" spans="4:21" ht="15.75" customHeight="1" x14ac:dyDescent="0.2"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</row>
    <row r="205" spans="4:21" ht="15.75" customHeight="1" x14ac:dyDescent="0.2"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</row>
    <row r="206" spans="4:21" ht="15.75" customHeight="1" x14ac:dyDescent="0.2"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</row>
    <row r="207" spans="4:21" ht="15.75" customHeight="1" x14ac:dyDescent="0.2"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</row>
    <row r="208" spans="4:21" ht="15.75" customHeight="1" x14ac:dyDescent="0.2"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</row>
    <row r="209" spans="4:21" ht="15.75" customHeight="1" x14ac:dyDescent="0.2"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</row>
    <row r="210" spans="4:21" ht="15.75" customHeight="1" x14ac:dyDescent="0.2"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</row>
    <row r="211" spans="4:21" ht="15.75" customHeight="1" x14ac:dyDescent="0.2"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</row>
    <row r="212" spans="4:21" ht="15.75" customHeight="1" x14ac:dyDescent="0.2"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</row>
    <row r="213" spans="4:21" ht="15.75" customHeight="1" x14ac:dyDescent="0.2"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</row>
    <row r="214" spans="4:21" ht="15.75" customHeight="1" x14ac:dyDescent="0.2"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</row>
    <row r="215" spans="4:21" ht="15.75" customHeight="1" x14ac:dyDescent="0.2"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</row>
    <row r="216" spans="4:21" ht="15.75" customHeight="1" x14ac:dyDescent="0.2"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</row>
    <row r="217" spans="4:21" ht="15.75" customHeight="1" x14ac:dyDescent="0.2"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</row>
    <row r="218" spans="4:21" ht="15.75" customHeight="1" x14ac:dyDescent="0.2"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</row>
    <row r="219" spans="4:21" ht="15.75" customHeight="1" x14ac:dyDescent="0.2"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</row>
    <row r="220" spans="4:21" ht="15.75" customHeight="1" x14ac:dyDescent="0.2"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</row>
    <row r="221" spans="4:21" ht="15.75" customHeight="1" x14ac:dyDescent="0.2"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</row>
    <row r="222" spans="4:21" ht="15.75" customHeight="1" x14ac:dyDescent="0.2"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</row>
    <row r="223" spans="4:21" ht="15.75" customHeight="1" x14ac:dyDescent="0.2"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</row>
    <row r="224" spans="4:21" ht="15.75" customHeight="1" x14ac:dyDescent="0.2"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</row>
    <row r="225" spans="4:21" ht="15.75" customHeight="1" x14ac:dyDescent="0.2"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</row>
    <row r="226" spans="4:21" ht="15.75" customHeight="1" x14ac:dyDescent="0.2"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</row>
    <row r="227" spans="4:21" ht="15.75" customHeight="1" x14ac:dyDescent="0.2"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</row>
    <row r="228" spans="4:21" ht="15.75" customHeight="1" x14ac:dyDescent="0.2"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</row>
    <row r="229" spans="4:21" ht="15.75" customHeight="1" x14ac:dyDescent="0.2"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</row>
    <row r="230" spans="4:21" ht="15.75" customHeight="1" x14ac:dyDescent="0.2"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</row>
    <row r="231" spans="4:21" ht="15.75" customHeight="1" x14ac:dyDescent="0.2"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</row>
    <row r="232" spans="4:21" ht="15.75" customHeight="1" x14ac:dyDescent="0.2"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</row>
    <row r="233" spans="4:21" ht="15.75" customHeight="1" x14ac:dyDescent="0.2"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</row>
    <row r="234" spans="4:21" ht="15.75" customHeight="1" x14ac:dyDescent="0.2"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</row>
    <row r="235" spans="4:21" ht="15.75" customHeight="1" x14ac:dyDescent="0.2"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</row>
    <row r="236" spans="4:21" ht="15.75" customHeight="1" x14ac:dyDescent="0.2"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</row>
    <row r="237" spans="4:21" ht="15.75" customHeight="1" x14ac:dyDescent="0.2"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</row>
    <row r="238" spans="4:21" ht="15.75" customHeight="1" x14ac:dyDescent="0.2"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</row>
    <row r="239" spans="4:21" ht="15.75" customHeight="1" x14ac:dyDescent="0.2"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</row>
    <row r="240" spans="4:21" ht="15.75" customHeight="1" x14ac:dyDescent="0.2"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</row>
    <row r="241" spans="4:21" ht="15.75" customHeight="1" x14ac:dyDescent="0.2"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</row>
    <row r="242" spans="4:21" ht="15.75" customHeight="1" x14ac:dyDescent="0.2"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</row>
    <row r="243" spans="4:21" ht="15.75" customHeight="1" x14ac:dyDescent="0.2"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</row>
    <row r="244" spans="4:21" ht="15.75" customHeight="1" x14ac:dyDescent="0.2"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</row>
    <row r="245" spans="4:21" ht="15.75" customHeight="1" x14ac:dyDescent="0.2"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</row>
    <row r="246" spans="4:21" ht="15.75" customHeight="1" x14ac:dyDescent="0.2"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</row>
    <row r="247" spans="4:21" ht="15.75" customHeight="1" x14ac:dyDescent="0.2"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</row>
    <row r="248" spans="4:21" ht="15.75" customHeight="1" x14ac:dyDescent="0.2"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</row>
    <row r="249" spans="4:21" ht="15.75" customHeight="1" x14ac:dyDescent="0.2"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</row>
    <row r="250" spans="4:21" ht="15.75" customHeight="1" x14ac:dyDescent="0.2"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</row>
    <row r="251" spans="4:21" ht="15.75" customHeight="1" x14ac:dyDescent="0.2"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</row>
    <row r="252" spans="4:21" ht="15.75" customHeight="1" x14ac:dyDescent="0.2"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</row>
    <row r="253" spans="4:21" ht="15.75" customHeight="1" x14ac:dyDescent="0.2"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</row>
    <row r="254" spans="4:21" ht="15.75" customHeight="1" x14ac:dyDescent="0.2"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</row>
    <row r="255" spans="4:21" ht="15.75" customHeight="1" x14ac:dyDescent="0.2"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</row>
    <row r="256" spans="4:21" ht="15.75" customHeight="1" x14ac:dyDescent="0.2"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</row>
    <row r="257" spans="4:21" ht="15.75" customHeight="1" x14ac:dyDescent="0.2"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</row>
    <row r="258" spans="4:21" ht="15.75" customHeight="1" x14ac:dyDescent="0.2"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</row>
    <row r="259" spans="4:21" ht="15.75" customHeight="1" x14ac:dyDescent="0.2"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</row>
    <row r="260" spans="4:21" ht="15.75" customHeight="1" x14ac:dyDescent="0.2"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</row>
    <row r="261" spans="4:21" ht="15.75" customHeight="1" x14ac:dyDescent="0.2"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</row>
    <row r="262" spans="4:21" ht="15.75" customHeight="1" x14ac:dyDescent="0.2"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</row>
    <row r="263" spans="4:21" ht="15.75" customHeight="1" x14ac:dyDescent="0.2"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</row>
    <row r="264" spans="4:21" ht="15.75" customHeight="1" x14ac:dyDescent="0.2"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</row>
    <row r="265" spans="4:21" ht="15.75" customHeight="1" x14ac:dyDescent="0.2"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</row>
    <row r="266" spans="4:21" ht="15.75" customHeight="1" x14ac:dyDescent="0.2"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</row>
    <row r="267" spans="4:21" ht="15.75" customHeight="1" x14ac:dyDescent="0.2"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</row>
    <row r="268" spans="4:21" ht="15.75" customHeight="1" x14ac:dyDescent="0.2"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</row>
    <row r="269" spans="4:21" ht="15.75" customHeight="1" x14ac:dyDescent="0.2"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</row>
    <row r="270" spans="4:21" ht="15.75" customHeight="1" x14ac:dyDescent="0.2"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</row>
    <row r="271" spans="4:21" ht="15.75" customHeight="1" x14ac:dyDescent="0.2"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</row>
    <row r="272" spans="4:21" ht="15.75" customHeight="1" x14ac:dyDescent="0.2"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</row>
    <row r="273" spans="4:21" ht="15.75" customHeight="1" x14ac:dyDescent="0.2"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</row>
    <row r="274" spans="4:21" ht="15.75" customHeight="1" x14ac:dyDescent="0.2"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</row>
    <row r="275" spans="4:21" ht="15.75" customHeight="1" x14ac:dyDescent="0.2"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</row>
    <row r="276" spans="4:21" ht="15.75" customHeight="1" x14ac:dyDescent="0.2"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</row>
    <row r="277" spans="4:21" ht="15.75" customHeight="1" x14ac:dyDescent="0.2"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</row>
    <row r="278" spans="4:21" ht="15.75" customHeight="1" x14ac:dyDescent="0.2"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</row>
    <row r="279" spans="4:21" ht="15.75" customHeight="1" x14ac:dyDescent="0.2"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</row>
    <row r="280" spans="4:21" ht="15.75" customHeight="1" x14ac:dyDescent="0.2"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</row>
    <row r="281" spans="4:21" ht="15.75" customHeight="1" x14ac:dyDescent="0.2"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</row>
    <row r="282" spans="4:21" ht="15.75" customHeight="1" x14ac:dyDescent="0.2"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</row>
    <row r="283" spans="4:21" ht="15.75" customHeight="1" x14ac:dyDescent="0.2"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</row>
    <row r="284" spans="4:21" ht="15.75" customHeight="1" x14ac:dyDescent="0.2"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</row>
    <row r="285" spans="4:21" ht="15.75" customHeight="1" x14ac:dyDescent="0.2"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</row>
    <row r="286" spans="4:21" ht="15.75" customHeight="1" x14ac:dyDescent="0.2"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</row>
    <row r="287" spans="4:21" ht="15.75" customHeight="1" x14ac:dyDescent="0.2"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</row>
    <row r="288" spans="4:21" ht="15.75" customHeight="1" x14ac:dyDescent="0.2"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</row>
    <row r="289" spans="4:21" ht="15.75" customHeight="1" x14ac:dyDescent="0.2"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</row>
    <row r="290" spans="4:21" ht="15.75" customHeight="1" x14ac:dyDescent="0.2"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</row>
    <row r="291" spans="4:21" ht="15.75" customHeight="1" x14ac:dyDescent="0.2"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</row>
    <row r="292" spans="4:21" ht="15.75" customHeight="1" x14ac:dyDescent="0.2"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</row>
    <row r="293" spans="4:21" ht="15.75" customHeight="1" x14ac:dyDescent="0.2"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</row>
    <row r="294" spans="4:21" ht="15.75" customHeight="1" x14ac:dyDescent="0.2"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</row>
    <row r="295" spans="4:21" ht="15.75" customHeight="1" x14ac:dyDescent="0.2"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</row>
    <row r="296" spans="4:21" ht="15.75" customHeight="1" x14ac:dyDescent="0.2"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</row>
    <row r="297" spans="4:21" ht="15.75" customHeight="1" x14ac:dyDescent="0.2"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</row>
    <row r="298" spans="4:21" ht="15.75" customHeight="1" x14ac:dyDescent="0.2"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</row>
    <row r="299" spans="4:21" ht="15.75" customHeight="1" x14ac:dyDescent="0.2"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</row>
    <row r="300" spans="4:21" ht="15.75" customHeight="1" x14ac:dyDescent="0.2"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</row>
    <row r="301" spans="4:21" ht="15.75" customHeight="1" x14ac:dyDescent="0.2"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</row>
    <row r="302" spans="4:21" ht="15.75" customHeight="1" x14ac:dyDescent="0.2"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</row>
    <row r="303" spans="4:21" ht="15.75" customHeight="1" x14ac:dyDescent="0.2"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</row>
    <row r="304" spans="4:21" ht="15.75" customHeight="1" x14ac:dyDescent="0.2"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</row>
    <row r="305" spans="4:21" ht="15.75" customHeight="1" x14ac:dyDescent="0.2"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</row>
    <row r="306" spans="4:21" ht="15.75" customHeight="1" x14ac:dyDescent="0.2"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</row>
    <row r="307" spans="4:21" ht="15.75" customHeight="1" x14ac:dyDescent="0.2"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</row>
    <row r="308" spans="4:21" ht="15.75" customHeight="1" x14ac:dyDescent="0.2"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</row>
    <row r="309" spans="4:21" ht="15.75" customHeight="1" x14ac:dyDescent="0.2"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</row>
    <row r="310" spans="4:21" ht="15.75" customHeight="1" x14ac:dyDescent="0.2"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</row>
    <row r="311" spans="4:21" ht="15.75" customHeight="1" x14ac:dyDescent="0.2"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</row>
    <row r="312" spans="4:21" ht="15.75" customHeight="1" x14ac:dyDescent="0.2"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</row>
    <row r="313" spans="4:21" ht="15.75" customHeight="1" x14ac:dyDescent="0.2"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</row>
    <row r="314" spans="4:21" ht="15.75" customHeight="1" x14ac:dyDescent="0.2"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</row>
    <row r="315" spans="4:21" ht="15.75" customHeight="1" x14ac:dyDescent="0.2"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</row>
    <row r="316" spans="4:21" ht="15.75" customHeight="1" x14ac:dyDescent="0.2"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</row>
    <row r="317" spans="4:21" ht="15.75" customHeight="1" x14ac:dyDescent="0.2"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</row>
    <row r="318" spans="4:21" ht="15.75" customHeight="1" x14ac:dyDescent="0.2"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</row>
    <row r="319" spans="4:21" ht="15.75" customHeight="1" x14ac:dyDescent="0.2"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</row>
    <row r="320" spans="4:21" ht="15.75" customHeight="1" x14ac:dyDescent="0.2"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</row>
    <row r="321" spans="4:21" ht="15.75" customHeight="1" x14ac:dyDescent="0.2"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</row>
    <row r="322" spans="4:21" ht="15.75" customHeight="1" x14ac:dyDescent="0.2"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</row>
    <row r="323" spans="4:21" ht="15.75" customHeight="1" x14ac:dyDescent="0.2"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</row>
    <row r="324" spans="4:21" ht="15.75" customHeight="1" x14ac:dyDescent="0.2"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</row>
    <row r="325" spans="4:21" ht="15.75" customHeight="1" x14ac:dyDescent="0.2"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</row>
    <row r="326" spans="4:21" ht="15.75" customHeight="1" x14ac:dyDescent="0.2"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</row>
    <row r="327" spans="4:21" ht="15.75" customHeight="1" x14ac:dyDescent="0.2"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</row>
    <row r="328" spans="4:21" ht="15.75" customHeight="1" x14ac:dyDescent="0.2"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</row>
    <row r="329" spans="4:21" ht="15.75" customHeight="1" x14ac:dyDescent="0.2"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</row>
    <row r="330" spans="4:21" ht="15.75" customHeight="1" x14ac:dyDescent="0.2"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</row>
    <row r="331" spans="4:21" ht="15.75" customHeight="1" x14ac:dyDescent="0.2"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</row>
    <row r="332" spans="4:21" ht="15.75" customHeight="1" x14ac:dyDescent="0.2"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</row>
    <row r="333" spans="4:21" ht="15.75" customHeight="1" x14ac:dyDescent="0.2"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</row>
    <row r="334" spans="4:21" ht="15.75" customHeight="1" x14ac:dyDescent="0.2"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</row>
    <row r="335" spans="4:21" ht="15.75" customHeight="1" x14ac:dyDescent="0.2"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</row>
    <row r="336" spans="4:21" ht="15.75" customHeight="1" x14ac:dyDescent="0.2"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</row>
    <row r="337" spans="4:21" ht="15.75" customHeight="1" x14ac:dyDescent="0.2"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</row>
    <row r="338" spans="4:21" ht="15.75" customHeight="1" x14ac:dyDescent="0.2"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</row>
    <row r="339" spans="4:21" ht="15.75" customHeight="1" x14ac:dyDescent="0.2"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</row>
    <row r="340" spans="4:21" ht="15.75" customHeight="1" x14ac:dyDescent="0.2"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</row>
    <row r="341" spans="4:21" ht="15.75" customHeight="1" x14ac:dyDescent="0.2"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</row>
    <row r="342" spans="4:21" ht="15.75" customHeight="1" x14ac:dyDescent="0.2"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</row>
    <row r="343" spans="4:21" ht="15.75" customHeight="1" x14ac:dyDescent="0.2"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</row>
    <row r="344" spans="4:21" ht="15.75" customHeight="1" x14ac:dyDescent="0.2"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</row>
    <row r="345" spans="4:21" ht="15.75" customHeight="1" x14ac:dyDescent="0.2"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</row>
    <row r="346" spans="4:21" ht="15.75" customHeight="1" x14ac:dyDescent="0.2"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</row>
    <row r="347" spans="4:21" ht="15.75" customHeight="1" x14ac:dyDescent="0.2"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</row>
    <row r="348" spans="4:21" ht="15.75" customHeight="1" x14ac:dyDescent="0.2"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</row>
    <row r="349" spans="4:21" ht="15.75" customHeight="1" x14ac:dyDescent="0.2"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</row>
    <row r="350" spans="4:21" ht="15.75" customHeight="1" x14ac:dyDescent="0.2"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</row>
    <row r="351" spans="4:21" ht="15.75" customHeight="1" x14ac:dyDescent="0.2"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</row>
    <row r="352" spans="4:21" ht="15.75" customHeight="1" x14ac:dyDescent="0.2"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</row>
    <row r="353" spans="4:21" ht="15.75" customHeight="1" x14ac:dyDescent="0.2"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</row>
    <row r="354" spans="4:21" ht="15.75" customHeight="1" x14ac:dyDescent="0.2"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</row>
    <row r="355" spans="4:21" ht="15.75" customHeight="1" x14ac:dyDescent="0.2"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</row>
    <row r="356" spans="4:21" ht="15.75" customHeight="1" x14ac:dyDescent="0.2"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</row>
    <row r="357" spans="4:21" ht="15.75" customHeight="1" x14ac:dyDescent="0.2"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</row>
    <row r="358" spans="4:21" ht="15.75" customHeight="1" x14ac:dyDescent="0.2"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</row>
    <row r="359" spans="4:21" ht="15.75" customHeight="1" x14ac:dyDescent="0.2"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</row>
    <row r="360" spans="4:21" ht="15.75" customHeight="1" x14ac:dyDescent="0.2"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</row>
    <row r="361" spans="4:21" ht="15.75" customHeight="1" x14ac:dyDescent="0.2"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</row>
    <row r="362" spans="4:21" ht="15.75" customHeight="1" x14ac:dyDescent="0.2"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</row>
    <row r="363" spans="4:21" ht="15.75" customHeight="1" x14ac:dyDescent="0.2"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</row>
    <row r="364" spans="4:21" ht="15.75" customHeight="1" x14ac:dyDescent="0.2"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</row>
    <row r="365" spans="4:21" ht="15.75" customHeight="1" x14ac:dyDescent="0.2"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</row>
    <row r="366" spans="4:21" ht="15.75" customHeight="1" x14ac:dyDescent="0.2"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</row>
    <row r="367" spans="4:21" ht="15.75" customHeight="1" x14ac:dyDescent="0.2"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</row>
    <row r="368" spans="4:21" ht="15.75" customHeight="1" x14ac:dyDescent="0.2"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</row>
    <row r="369" spans="4:21" ht="15.75" customHeight="1" x14ac:dyDescent="0.2"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</row>
    <row r="370" spans="4:21" ht="15.75" customHeight="1" x14ac:dyDescent="0.2"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</row>
    <row r="371" spans="4:21" ht="15.75" customHeight="1" x14ac:dyDescent="0.2"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</row>
    <row r="372" spans="4:21" ht="15.75" customHeight="1" x14ac:dyDescent="0.2"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</row>
    <row r="373" spans="4:21" ht="15.75" customHeight="1" x14ac:dyDescent="0.2"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</row>
    <row r="374" spans="4:21" ht="15.75" customHeight="1" x14ac:dyDescent="0.2"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</row>
    <row r="375" spans="4:21" ht="15.75" customHeight="1" x14ac:dyDescent="0.2"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</row>
    <row r="376" spans="4:21" ht="15.75" customHeight="1" x14ac:dyDescent="0.2"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</row>
    <row r="377" spans="4:21" ht="15.75" customHeight="1" x14ac:dyDescent="0.2"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</row>
    <row r="378" spans="4:21" ht="15.75" customHeight="1" x14ac:dyDescent="0.2"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</row>
    <row r="379" spans="4:21" ht="15.75" customHeight="1" x14ac:dyDescent="0.2"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</row>
    <row r="380" spans="4:21" ht="15.75" customHeight="1" x14ac:dyDescent="0.2"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</row>
    <row r="381" spans="4:21" ht="15.75" customHeight="1" x14ac:dyDescent="0.2"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</row>
    <row r="382" spans="4:21" ht="15.75" customHeight="1" x14ac:dyDescent="0.2"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</row>
    <row r="383" spans="4:21" ht="15.75" customHeight="1" x14ac:dyDescent="0.2"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</row>
    <row r="384" spans="4:21" ht="15.75" customHeight="1" x14ac:dyDescent="0.2"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</row>
    <row r="385" spans="4:21" ht="15.75" customHeight="1" x14ac:dyDescent="0.2"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</row>
    <row r="386" spans="4:21" ht="15.75" customHeight="1" x14ac:dyDescent="0.2"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</row>
    <row r="387" spans="4:21" ht="15.75" customHeight="1" x14ac:dyDescent="0.2"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</row>
    <row r="388" spans="4:21" ht="15.75" customHeight="1" x14ac:dyDescent="0.2"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</row>
    <row r="389" spans="4:21" ht="15.75" customHeight="1" x14ac:dyDescent="0.2"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</row>
    <row r="390" spans="4:21" ht="15.75" customHeight="1" x14ac:dyDescent="0.2"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</row>
    <row r="391" spans="4:21" ht="15.75" customHeight="1" x14ac:dyDescent="0.2"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</row>
    <row r="392" spans="4:21" ht="15.75" customHeight="1" x14ac:dyDescent="0.2"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</row>
    <row r="393" spans="4:21" ht="15.75" customHeight="1" x14ac:dyDescent="0.2"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</row>
    <row r="394" spans="4:21" ht="15.75" customHeight="1" x14ac:dyDescent="0.2"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</row>
    <row r="395" spans="4:21" ht="15.75" customHeight="1" x14ac:dyDescent="0.2"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</row>
    <row r="396" spans="4:21" ht="15.75" customHeight="1" x14ac:dyDescent="0.2"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</row>
    <row r="397" spans="4:21" ht="15.75" customHeight="1" x14ac:dyDescent="0.2"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</row>
    <row r="398" spans="4:21" ht="15.75" customHeight="1" x14ac:dyDescent="0.2"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</row>
    <row r="399" spans="4:21" ht="15.75" customHeight="1" x14ac:dyDescent="0.2"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</row>
    <row r="400" spans="4:21" ht="15.75" customHeight="1" x14ac:dyDescent="0.2"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</row>
    <row r="401" spans="4:21" ht="15.75" customHeight="1" x14ac:dyDescent="0.2"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</row>
    <row r="402" spans="4:21" ht="15.75" customHeight="1" x14ac:dyDescent="0.2"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</row>
    <row r="403" spans="4:21" ht="15.75" customHeight="1" x14ac:dyDescent="0.2"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</row>
    <row r="404" spans="4:21" ht="15.75" customHeight="1" x14ac:dyDescent="0.2"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</row>
    <row r="405" spans="4:21" ht="15.75" customHeight="1" x14ac:dyDescent="0.2"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</row>
    <row r="406" spans="4:21" ht="15.75" customHeight="1" x14ac:dyDescent="0.2"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</row>
    <row r="407" spans="4:21" ht="15.75" customHeight="1" x14ac:dyDescent="0.2"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</row>
    <row r="408" spans="4:21" ht="15.75" customHeight="1" x14ac:dyDescent="0.2"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</row>
    <row r="409" spans="4:21" ht="15.75" customHeight="1" x14ac:dyDescent="0.2"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</row>
    <row r="410" spans="4:21" ht="15.75" customHeight="1" x14ac:dyDescent="0.2"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</row>
    <row r="411" spans="4:21" ht="15.75" customHeight="1" x14ac:dyDescent="0.2"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</row>
    <row r="412" spans="4:21" ht="15.75" customHeight="1" x14ac:dyDescent="0.2"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</row>
    <row r="413" spans="4:21" ht="15.75" customHeight="1" x14ac:dyDescent="0.2"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</row>
    <row r="414" spans="4:21" ht="15.75" customHeight="1" x14ac:dyDescent="0.2"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</row>
    <row r="415" spans="4:21" ht="15.75" customHeight="1" x14ac:dyDescent="0.2"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</row>
    <row r="416" spans="4:21" ht="15.75" customHeight="1" x14ac:dyDescent="0.2"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</row>
    <row r="417" spans="4:21" ht="15.75" customHeight="1" x14ac:dyDescent="0.2"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</row>
    <row r="418" spans="4:21" ht="15.75" customHeight="1" x14ac:dyDescent="0.2"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</row>
    <row r="419" spans="4:21" ht="15.75" customHeight="1" x14ac:dyDescent="0.2"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</row>
    <row r="420" spans="4:21" ht="15.75" customHeight="1" x14ac:dyDescent="0.2"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</row>
    <row r="421" spans="4:21" ht="15.75" customHeight="1" x14ac:dyDescent="0.2"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</row>
    <row r="422" spans="4:21" ht="15.75" customHeight="1" x14ac:dyDescent="0.2"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</row>
    <row r="423" spans="4:21" ht="15.75" customHeight="1" x14ac:dyDescent="0.2"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</row>
    <row r="424" spans="4:21" ht="15.75" customHeight="1" x14ac:dyDescent="0.2"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</row>
    <row r="425" spans="4:21" ht="15.75" customHeight="1" x14ac:dyDescent="0.2"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</row>
    <row r="426" spans="4:21" ht="15.75" customHeight="1" x14ac:dyDescent="0.2"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</row>
    <row r="427" spans="4:21" ht="15.75" customHeight="1" x14ac:dyDescent="0.2"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</row>
    <row r="428" spans="4:21" ht="15.75" customHeight="1" x14ac:dyDescent="0.2"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</row>
    <row r="429" spans="4:21" ht="15.75" customHeight="1" x14ac:dyDescent="0.2"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</row>
    <row r="430" spans="4:21" ht="15.75" customHeight="1" x14ac:dyDescent="0.2"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</row>
    <row r="431" spans="4:21" ht="15.75" customHeight="1" x14ac:dyDescent="0.2"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</row>
    <row r="432" spans="4:21" ht="15.75" customHeight="1" x14ac:dyDescent="0.2"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</row>
    <row r="433" spans="4:21" ht="15.75" customHeight="1" x14ac:dyDescent="0.2"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</row>
    <row r="434" spans="4:21" ht="15.75" customHeight="1" x14ac:dyDescent="0.2"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</row>
    <row r="435" spans="4:21" ht="15.75" customHeight="1" x14ac:dyDescent="0.2"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</row>
    <row r="436" spans="4:21" ht="15.75" customHeight="1" x14ac:dyDescent="0.2"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</row>
    <row r="437" spans="4:21" ht="15.75" customHeight="1" x14ac:dyDescent="0.2"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</row>
    <row r="438" spans="4:21" ht="15.75" customHeight="1" x14ac:dyDescent="0.2"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</row>
    <row r="439" spans="4:21" ht="15.75" customHeight="1" x14ac:dyDescent="0.2"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</row>
    <row r="440" spans="4:21" ht="15.75" customHeight="1" x14ac:dyDescent="0.2"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</row>
    <row r="441" spans="4:21" ht="15.75" customHeight="1" x14ac:dyDescent="0.2"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</row>
    <row r="442" spans="4:21" ht="15.75" customHeight="1" x14ac:dyDescent="0.2"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</row>
    <row r="443" spans="4:21" ht="15.75" customHeight="1" x14ac:dyDescent="0.2"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</row>
    <row r="444" spans="4:21" ht="15.75" customHeight="1" x14ac:dyDescent="0.2"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</row>
    <row r="445" spans="4:21" ht="15.75" customHeight="1" x14ac:dyDescent="0.2"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</row>
    <row r="446" spans="4:21" ht="15.75" customHeight="1" x14ac:dyDescent="0.2"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</row>
    <row r="447" spans="4:21" ht="15.75" customHeight="1" x14ac:dyDescent="0.2"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</row>
    <row r="448" spans="4:21" ht="15.75" customHeight="1" x14ac:dyDescent="0.2"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</row>
    <row r="449" spans="4:21" ht="15.75" customHeight="1" x14ac:dyDescent="0.2"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</row>
    <row r="450" spans="4:21" ht="15.75" customHeight="1" x14ac:dyDescent="0.2"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</row>
    <row r="451" spans="4:21" ht="15.75" customHeight="1" x14ac:dyDescent="0.2"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</row>
    <row r="452" spans="4:21" ht="15.75" customHeight="1" x14ac:dyDescent="0.2"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</row>
    <row r="453" spans="4:21" ht="15.75" customHeight="1" x14ac:dyDescent="0.2"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</row>
    <row r="454" spans="4:21" ht="15.75" customHeight="1" x14ac:dyDescent="0.2"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</row>
    <row r="455" spans="4:21" ht="15.75" customHeight="1" x14ac:dyDescent="0.2"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</row>
    <row r="456" spans="4:21" ht="15.75" customHeight="1" x14ac:dyDescent="0.2"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</row>
    <row r="457" spans="4:21" ht="15.75" customHeight="1" x14ac:dyDescent="0.2"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</row>
    <row r="458" spans="4:21" ht="15.75" customHeight="1" x14ac:dyDescent="0.2"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</row>
    <row r="459" spans="4:21" ht="15.75" customHeight="1" x14ac:dyDescent="0.2"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</row>
    <row r="460" spans="4:21" ht="15.75" customHeight="1" x14ac:dyDescent="0.2"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</row>
    <row r="461" spans="4:21" ht="15.75" customHeight="1" x14ac:dyDescent="0.2"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</row>
    <row r="462" spans="4:21" ht="15.75" customHeight="1" x14ac:dyDescent="0.2"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</row>
    <row r="463" spans="4:21" ht="15.75" customHeight="1" x14ac:dyDescent="0.2"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</row>
    <row r="464" spans="4:21" ht="15.75" customHeight="1" x14ac:dyDescent="0.2"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</row>
    <row r="465" spans="4:21" ht="15.75" customHeight="1" x14ac:dyDescent="0.2"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</row>
    <row r="466" spans="4:21" ht="15.75" customHeight="1" x14ac:dyDescent="0.2"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</row>
    <row r="467" spans="4:21" ht="15.75" customHeight="1" x14ac:dyDescent="0.2"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</row>
    <row r="468" spans="4:21" ht="15.75" customHeight="1" x14ac:dyDescent="0.2"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</row>
    <row r="469" spans="4:21" ht="15.75" customHeight="1" x14ac:dyDescent="0.2"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</row>
    <row r="470" spans="4:21" ht="15.75" customHeight="1" x14ac:dyDescent="0.2"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</row>
    <row r="471" spans="4:21" ht="15.75" customHeight="1" x14ac:dyDescent="0.2"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</row>
    <row r="472" spans="4:21" ht="15.75" customHeight="1" x14ac:dyDescent="0.2"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</row>
    <row r="473" spans="4:21" ht="15.75" customHeight="1" x14ac:dyDescent="0.2"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</row>
    <row r="474" spans="4:21" ht="15.75" customHeight="1" x14ac:dyDescent="0.2"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</row>
    <row r="475" spans="4:21" ht="15.75" customHeight="1" x14ac:dyDescent="0.2"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</row>
    <row r="476" spans="4:21" ht="15.75" customHeight="1" x14ac:dyDescent="0.2"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</row>
    <row r="477" spans="4:21" ht="15.75" customHeight="1" x14ac:dyDescent="0.2"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</row>
    <row r="478" spans="4:21" ht="15.75" customHeight="1" x14ac:dyDescent="0.2"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</row>
    <row r="479" spans="4:21" ht="15.75" customHeight="1" x14ac:dyDescent="0.2"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</row>
    <row r="480" spans="4:21" ht="15.75" customHeight="1" x14ac:dyDescent="0.2"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</row>
    <row r="481" spans="4:21" ht="15.75" customHeight="1" x14ac:dyDescent="0.2"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</row>
    <row r="482" spans="4:21" ht="15.75" customHeight="1" x14ac:dyDescent="0.2"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</row>
    <row r="483" spans="4:21" ht="15.75" customHeight="1" x14ac:dyDescent="0.2"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</row>
    <row r="484" spans="4:21" ht="15.75" customHeight="1" x14ac:dyDescent="0.2"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</row>
    <row r="485" spans="4:21" ht="15.75" customHeight="1" x14ac:dyDescent="0.2"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</row>
    <row r="486" spans="4:21" ht="15.75" customHeight="1" x14ac:dyDescent="0.2"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</row>
    <row r="487" spans="4:21" ht="15.75" customHeight="1" x14ac:dyDescent="0.2"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</row>
    <row r="488" spans="4:21" ht="15.75" customHeight="1" x14ac:dyDescent="0.2"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</row>
    <row r="489" spans="4:21" ht="15.75" customHeight="1" x14ac:dyDescent="0.2"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</row>
    <row r="490" spans="4:21" ht="15.75" customHeight="1" x14ac:dyDescent="0.2"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</row>
    <row r="491" spans="4:21" ht="15.75" customHeight="1" x14ac:dyDescent="0.2"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</row>
    <row r="492" spans="4:21" ht="15.75" customHeight="1" x14ac:dyDescent="0.2"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</row>
    <row r="493" spans="4:21" ht="15.75" customHeight="1" x14ac:dyDescent="0.2"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</row>
    <row r="494" spans="4:21" ht="15.75" customHeight="1" x14ac:dyDescent="0.2"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</row>
    <row r="495" spans="4:21" ht="15.75" customHeight="1" x14ac:dyDescent="0.2"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</row>
    <row r="496" spans="4:21" ht="15.75" customHeight="1" x14ac:dyDescent="0.2"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</row>
    <row r="497" spans="4:21" ht="15.75" customHeight="1" x14ac:dyDescent="0.2"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</row>
    <row r="498" spans="4:21" ht="15.75" customHeight="1" x14ac:dyDescent="0.2"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</row>
    <row r="499" spans="4:21" ht="15.75" customHeight="1" x14ac:dyDescent="0.2"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</row>
    <row r="500" spans="4:21" ht="15.75" customHeight="1" x14ac:dyDescent="0.2"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</row>
    <row r="501" spans="4:21" ht="15.75" customHeight="1" x14ac:dyDescent="0.2"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</row>
    <row r="502" spans="4:21" ht="15.75" customHeight="1" x14ac:dyDescent="0.2"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</row>
    <row r="503" spans="4:21" ht="15.75" customHeight="1" x14ac:dyDescent="0.2"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</row>
    <row r="504" spans="4:21" ht="15.75" customHeight="1" x14ac:dyDescent="0.2"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</row>
    <row r="505" spans="4:21" ht="15.75" customHeight="1" x14ac:dyDescent="0.2"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</row>
    <row r="506" spans="4:21" ht="15.75" customHeight="1" x14ac:dyDescent="0.2"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</row>
    <row r="507" spans="4:21" ht="15.75" customHeight="1" x14ac:dyDescent="0.2"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</row>
    <row r="508" spans="4:21" ht="15.75" customHeight="1" x14ac:dyDescent="0.2"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</row>
    <row r="509" spans="4:21" ht="15.75" customHeight="1" x14ac:dyDescent="0.2"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</row>
    <row r="510" spans="4:21" ht="15.75" customHeight="1" x14ac:dyDescent="0.2"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</row>
    <row r="511" spans="4:21" ht="15.75" customHeight="1" x14ac:dyDescent="0.2"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</row>
    <row r="512" spans="4:21" ht="15.75" customHeight="1" x14ac:dyDescent="0.2"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</row>
    <row r="513" spans="4:21" ht="15.75" customHeight="1" x14ac:dyDescent="0.2"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</row>
    <row r="514" spans="4:21" ht="15.75" customHeight="1" x14ac:dyDescent="0.2"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</row>
    <row r="515" spans="4:21" ht="15.75" customHeight="1" x14ac:dyDescent="0.2"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</row>
    <row r="516" spans="4:21" ht="15.75" customHeight="1" x14ac:dyDescent="0.2"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</row>
    <row r="517" spans="4:21" ht="15.75" customHeight="1" x14ac:dyDescent="0.2"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</row>
    <row r="518" spans="4:21" ht="15.75" customHeight="1" x14ac:dyDescent="0.2"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</row>
    <row r="519" spans="4:21" ht="15.75" customHeight="1" x14ac:dyDescent="0.2"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</row>
    <row r="520" spans="4:21" ht="15.75" customHeight="1" x14ac:dyDescent="0.2"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</row>
    <row r="521" spans="4:21" ht="15.75" customHeight="1" x14ac:dyDescent="0.2"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</row>
    <row r="522" spans="4:21" ht="15.75" customHeight="1" x14ac:dyDescent="0.2"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</row>
    <row r="523" spans="4:21" ht="15.75" customHeight="1" x14ac:dyDescent="0.2"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</row>
    <row r="524" spans="4:21" ht="15.75" customHeight="1" x14ac:dyDescent="0.2"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</row>
    <row r="525" spans="4:21" ht="15.75" customHeight="1" x14ac:dyDescent="0.2"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</row>
    <row r="526" spans="4:21" ht="15.75" customHeight="1" x14ac:dyDescent="0.2"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</row>
    <row r="527" spans="4:21" ht="15.75" customHeight="1" x14ac:dyDescent="0.2"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</row>
    <row r="528" spans="4:21" ht="15.75" customHeight="1" x14ac:dyDescent="0.2"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</row>
    <row r="529" spans="4:21" ht="15.75" customHeight="1" x14ac:dyDescent="0.2"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</row>
    <row r="530" spans="4:21" ht="15.75" customHeight="1" x14ac:dyDescent="0.2"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</row>
    <row r="531" spans="4:21" ht="15.75" customHeight="1" x14ac:dyDescent="0.2"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</row>
    <row r="532" spans="4:21" ht="15.75" customHeight="1" x14ac:dyDescent="0.2"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</row>
    <row r="533" spans="4:21" ht="15.75" customHeight="1" x14ac:dyDescent="0.2"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</row>
    <row r="534" spans="4:21" ht="15.75" customHeight="1" x14ac:dyDescent="0.2"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</row>
    <row r="535" spans="4:21" ht="15.75" customHeight="1" x14ac:dyDescent="0.2"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</row>
    <row r="536" spans="4:21" ht="15.75" customHeight="1" x14ac:dyDescent="0.2"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</row>
    <row r="537" spans="4:21" ht="15.75" customHeight="1" x14ac:dyDescent="0.2"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</row>
    <row r="538" spans="4:21" ht="15.75" customHeight="1" x14ac:dyDescent="0.2"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</row>
    <row r="539" spans="4:21" ht="15.75" customHeight="1" x14ac:dyDescent="0.2"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</row>
    <row r="540" spans="4:21" ht="15.75" customHeight="1" x14ac:dyDescent="0.2"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</row>
    <row r="541" spans="4:21" ht="15.75" customHeight="1" x14ac:dyDescent="0.2"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</row>
    <row r="542" spans="4:21" ht="15.75" customHeight="1" x14ac:dyDescent="0.2"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</row>
    <row r="543" spans="4:21" ht="15.75" customHeight="1" x14ac:dyDescent="0.2"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</row>
    <row r="544" spans="4:21" ht="15.75" customHeight="1" x14ac:dyDescent="0.2"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</row>
    <row r="545" spans="4:21" ht="15.75" customHeight="1" x14ac:dyDescent="0.2"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</row>
    <row r="546" spans="4:21" ht="15.75" customHeight="1" x14ac:dyDescent="0.2"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</row>
    <row r="547" spans="4:21" ht="15.75" customHeight="1" x14ac:dyDescent="0.2"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</row>
    <row r="548" spans="4:21" ht="15.75" customHeight="1" x14ac:dyDescent="0.2"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</row>
    <row r="549" spans="4:21" ht="15.75" customHeight="1" x14ac:dyDescent="0.2"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</row>
    <row r="550" spans="4:21" ht="15.75" customHeight="1" x14ac:dyDescent="0.2"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</row>
    <row r="551" spans="4:21" ht="15.75" customHeight="1" x14ac:dyDescent="0.2"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</row>
    <row r="552" spans="4:21" ht="15.75" customHeight="1" x14ac:dyDescent="0.2"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</row>
    <row r="553" spans="4:21" ht="15.75" customHeight="1" x14ac:dyDescent="0.2"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</row>
    <row r="554" spans="4:21" ht="15.75" customHeight="1" x14ac:dyDescent="0.2"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</row>
    <row r="555" spans="4:21" ht="15.75" customHeight="1" x14ac:dyDescent="0.2"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</row>
    <row r="556" spans="4:21" ht="15.75" customHeight="1" x14ac:dyDescent="0.2"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</row>
    <row r="557" spans="4:21" ht="15.75" customHeight="1" x14ac:dyDescent="0.2"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</row>
    <row r="558" spans="4:21" ht="15.75" customHeight="1" x14ac:dyDescent="0.2"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</row>
    <row r="559" spans="4:21" ht="15.75" customHeight="1" x14ac:dyDescent="0.2"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</row>
    <row r="560" spans="4:21" ht="15.75" customHeight="1" x14ac:dyDescent="0.2"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</row>
    <row r="561" spans="4:21" ht="15.75" customHeight="1" x14ac:dyDescent="0.2"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</row>
    <row r="562" spans="4:21" ht="15.75" customHeight="1" x14ac:dyDescent="0.2"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</row>
    <row r="563" spans="4:21" ht="15.75" customHeight="1" x14ac:dyDescent="0.2"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</row>
    <row r="564" spans="4:21" ht="15.75" customHeight="1" x14ac:dyDescent="0.2"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</row>
    <row r="565" spans="4:21" ht="15.75" customHeight="1" x14ac:dyDescent="0.2"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</row>
    <row r="566" spans="4:21" ht="15.75" customHeight="1" x14ac:dyDescent="0.2"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</row>
    <row r="567" spans="4:21" ht="15.75" customHeight="1" x14ac:dyDescent="0.2"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</row>
    <row r="568" spans="4:21" ht="15.75" customHeight="1" x14ac:dyDescent="0.2"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</row>
    <row r="569" spans="4:21" ht="15.75" customHeight="1" x14ac:dyDescent="0.2"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</row>
    <row r="570" spans="4:21" ht="15.75" customHeight="1" x14ac:dyDescent="0.2"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</row>
    <row r="571" spans="4:21" ht="15.75" customHeight="1" x14ac:dyDescent="0.2"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</row>
    <row r="572" spans="4:21" ht="15.75" customHeight="1" x14ac:dyDescent="0.2"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</row>
    <row r="573" spans="4:21" ht="15.75" customHeight="1" x14ac:dyDescent="0.2"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</row>
    <row r="574" spans="4:21" ht="15.75" customHeight="1" x14ac:dyDescent="0.2"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</row>
    <row r="575" spans="4:21" ht="15.75" customHeight="1" x14ac:dyDescent="0.2"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</row>
    <row r="576" spans="4:21" ht="15.75" customHeight="1" x14ac:dyDescent="0.2"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</row>
    <row r="577" spans="4:21" ht="15.75" customHeight="1" x14ac:dyDescent="0.2"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</row>
    <row r="578" spans="4:21" ht="15.75" customHeight="1" x14ac:dyDescent="0.2"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</row>
    <row r="579" spans="4:21" ht="15.75" customHeight="1" x14ac:dyDescent="0.2"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</row>
    <row r="580" spans="4:21" ht="15.75" customHeight="1" x14ac:dyDescent="0.2"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</row>
    <row r="581" spans="4:21" ht="15.75" customHeight="1" x14ac:dyDescent="0.2"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</row>
    <row r="582" spans="4:21" ht="15.75" customHeight="1" x14ac:dyDescent="0.2"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</row>
    <row r="583" spans="4:21" ht="15.75" customHeight="1" x14ac:dyDescent="0.2"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</row>
    <row r="584" spans="4:21" ht="15.75" customHeight="1" x14ac:dyDescent="0.2"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</row>
    <row r="585" spans="4:21" ht="15.75" customHeight="1" x14ac:dyDescent="0.2"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</row>
    <row r="586" spans="4:21" ht="15.75" customHeight="1" x14ac:dyDescent="0.2"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</row>
    <row r="587" spans="4:21" ht="15.75" customHeight="1" x14ac:dyDescent="0.2"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</row>
    <row r="588" spans="4:21" ht="15.75" customHeight="1" x14ac:dyDescent="0.2"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</row>
    <row r="589" spans="4:21" ht="15.75" customHeight="1" x14ac:dyDescent="0.2"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</row>
    <row r="590" spans="4:21" ht="15.75" customHeight="1" x14ac:dyDescent="0.2"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</row>
    <row r="591" spans="4:21" ht="15.75" customHeight="1" x14ac:dyDescent="0.2"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</row>
    <row r="592" spans="4:21" ht="15.75" customHeight="1" x14ac:dyDescent="0.2"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</row>
    <row r="593" spans="4:21" ht="15.75" customHeight="1" x14ac:dyDescent="0.2"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</row>
    <row r="594" spans="4:21" ht="15.75" customHeight="1" x14ac:dyDescent="0.2"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</row>
    <row r="595" spans="4:21" ht="15.75" customHeight="1" x14ac:dyDescent="0.2"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</row>
    <row r="596" spans="4:21" ht="15.75" customHeight="1" x14ac:dyDescent="0.2"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</row>
    <row r="597" spans="4:21" ht="15.75" customHeight="1" x14ac:dyDescent="0.2"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</row>
    <row r="598" spans="4:21" ht="15.75" customHeight="1" x14ac:dyDescent="0.2"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</row>
    <row r="599" spans="4:21" ht="15.75" customHeight="1" x14ac:dyDescent="0.2"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</row>
    <row r="600" spans="4:21" ht="15.75" customHeight="1" x14ac:dyDescent="0.2"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</row>
    <row r="601" spans="4:21" ht="15.75" customHeight="1" x14ac:dyDescent="0.2"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</row>
    <row r="602" spans="4:21" ht="15.75" customHeight="1" x14ac:dyDescent="0.2"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</row>
    <row r="603" spans="4:21" ht="15.75" customHeight="1" x14ac:dyDescent="0.2"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</row>
    <row r="604" spans="4:21" ht="15.75" customHeight="1" x14ac:dyDescent="0.2"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</row>
    <row r="605" spans="4:21" ht="15.75" customHeight="1" x14ac:dyDescent="0.2"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</row>
    <row r="606" spans="4:21" ht="15.75" customHeight="1" x14ac:dyDescent="0.2"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</row>
    <row r="607" spans="4:21" ht="15.75" customHeight="1" x14ac:dyDescent="0.2"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</row>
    <row r="608" spans="4:21" ht="15.75" customHeight="1" x14ac:dyDescent="0.2"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</row>
    <row r="609" spans="4:21" ht="15.75" customHeight="1" x14ac:dyDescent="0.2"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</row>
    <row r="610" spans="4:21" ht="15.75" customHeight="1" x14ac:dyDescent="0.2"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</row>
    <row r="611" spans="4:21" ht="15.75" customHeight="1" x14ac:dyDescent="0.2"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</row>
    <row r="612" spans="4:21" ht="15.75" customHeight="1" x14ac:dyDescent="0.2"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</row>
    <row r="613" spans="4:21" ht="15.75" customHeight="1" x14ac:dyDescent="0.2"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</row>
    <row r="614" spans="4:21" ht="15.75" customHeight="1" x14ac:dyDescent="0.2"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</row>
    <row r="615" spans="4:21" ht="15.75" customHeight="1" x14ac:dyDescent="0.2"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</row>
    <row r="616" spans="4:21" ht="15.75" customHeight="1" x14ac:dyDescent="0.2"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</row>
    <row r="617" spans="4:21" ht="15.75" customHeight="1" x14ac:dyDescent="0.2"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</row>
    <row r="618" spans="4:21" ht="15.75" customHeight="1" x14ac:dyDescent="0.2"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</row>
    <row r="619" spans="4:21" ht="15.75" customHeight="1" x14ac:dyDescent="0.2"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</row>
    <row r="620" spans="4:21" ht="15.75" customHeight="1" x14ac:dyDescent="0.2"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</row>
    <row r="621" spans="4:21" ht="15.75" customHeight="1" x14ac:dyDescent="0.2"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</row>
    <row r="622" spans="4:21" ht="15.75" customHeight="1" x14ac:dyDescent="0.2"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</row>
    <row r="623" spans="4:21" ht="15.75" customHeight="1" x14ac:dyDescent="0.2"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</row>
    <row r="624" spans="4:21" ht="15.75" customHeight="1" x14ac:dyDescent="0.2"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</row>
    <row r="625" spans="4:21" ht="15.75" customHeight="1" x14ac:dyDescent="0.2"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</row>
    <row r="626" spans="4:21" ht="15.75" customHeight="1" x14ac:dyDescent="0.2"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</row>
    <row r="627" spans="4:21" ht="15.75" customHeight="1" x14ac:dyDescent="0.2"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</row>
    <row r="628" spans="4:21" ht="15.75" customHeight="1" x14ac:dyDescent="0.2"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</row>
    <row r="629" spans="4:21" ht="15.75" customHeight="1" x14ac:dyDescent="0.2"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</row>
    <row r="630" spans="4:21" ht="15.75" customHeight="1" x14ac:dyDescent="0.2"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</row>
    <row r="631" spans="4:21" ht="15.75" customHeight="1" x14ac:dyDescent="0.2"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</row>
    <row r="632" spans="4:21" ht="15.75" customHeight="1" x14ac:dyDescent="0.2"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</row>
    <row r="633" spans="4:21" ht="15.75" customHeight="1" x14ac:dyDescent="0.2"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</row>
    <row r="634" spans="4:21" ht="15.75" customHeight="1" x14ac:dyDescent="0.2"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</row>
    <row r="635" spans="4:21" ht="15.75" customHeight="1" x14ac:dyDescent="0.2"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</row>
    <row r="636" spans="4:21" ht="15.75" customHeight="1" x14ac:dyDescent="0.2"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</row>
    <row r="637" spans="4:21" ht="15.75" customHeight="1" x14ac:dyDescent="0.2"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</row>
    <row r="638" spans="4:21" ht="15.75" customHeight="1" x14ac:dyDescent="0.2"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</row>
    <row r="639" spans="4:21" ht="15.75" customHeight="1" x14ac:dyDescent="0.2"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</row>
    <row r="640" spans="4:21" ht="15.75" customHeight="1" x14ac:dyDescent="0.2"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</row>
    <row r="641" spans="4:21" ht="15.75" customHeight="1" x14ac:dyDescent="0.2"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</row>
    <row r="642" spans="4:21" ht="15.75" customHeight="1" x14ac:dyDescent="0.2"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</row>
    <row r="643" spans="4:21" ht="15.75" customHeight="1" x14ac:dyDescent="0.2"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</row>
    <row r="644" spans="4:21" ht="15.75" customHeight="1" x14ac:dyDescent="0.2"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</row>
    <row r="645" spans="4:21" ht="15.75" customHeight="1" x14ac:dyDescent="0.2"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</row>
    <row r="646" spans="4:21" ht="15.75" customHeight="1" x14ac:dyDescent="0.2"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</row>
    <row r="647" spans="4:21" ht="15.75" customHeight="1" x14ac:dyDescent="0.2"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</row>
    <row r="648" spans="4:21" ht="15.75" customHeight="1" x14ac:dyDescent="0.2"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</row>
    <row r="649" spans="4:21" ht="15.75" customHeight="1" x14ac:dyDescent="0.2"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</row>
    <row r="650" spans="4:21" ht="15.75" customHeight="1" x14ac:dyDescent="0.2"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</row>
    <row r="651" spans="4:21" ht="15.75" customHeight="1" x14ac:dyDescent="0.2"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</row>
    <row r="652" spans="4:21" ht="15.75" customHeight="1" x14ac:dyDescent="0.2"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</row>
    <row r="653" spans="4:21" ht="15.75" customHeight="1" x14ac:dyDescent="0.2"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</row>
    <row r="654" spans="4:21" ht="15.75" customHeight="1" x14ac:dyDescent="0.2"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</row>
    <row r="655" spans="4:21" ht="15.75" customHeight="1" x14ac:dyDescent="0.2"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</row>
    <row r="656" spans="4:21" ht="15.75" customHeight="1" x14ac:dyDescent="0.2"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</row>
    <row r="657" spans="4:21" ht="15.75" customHeight="1" x14ac:dyDescent="0.2"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</row>
    <row r="658" spans="4:21" ht="15.75" customHeight="1" x14ac:dyDescent="0.2"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</row>
    <row r="659" spans="4:21" ht="15.75" customHeight="1" x14ac:dyDescent="0.2"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</row>
    <row r="660" spans="4:21" ht="15.75" customHeight="1" x14ac:dyDescent="0.2"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</row>
    <row r="661" spans="4:21" ht="15.75" customHeight="1" x14ac:dyDescent="0.2"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</row>
    <row r="662" spans="4:21" ht="15.75" customHeight="1" x14ac:dyDescent="0.2"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</row>
    <row r="663" spans="4:21" ht="15.75" customHeight="1" x14ac:dyDescent="0.2"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</row>
    <row r="664" spans="4:21" ht="15.75" customHeight="1" x14ac:dyDescent="0.2"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</row>
    <row r="665" spans="4:21" ht="15.75" customHeight="1" x14ac:dyDescent="0.2"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</row>
    <row r="666" spans="4:21" ht="15.75" customHeight="1" x14ac:dyDescent="0.2"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</row>
    <row r="667" spans="4:21" ht="15.75" customHeight="1" x14ac:dyDescent="0.2"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</row>
    <row r="668" spans="4:21" ht="15.75" customHeight="1" x14ac:dyDescent="0.2"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</row>
    <row r="669" spans="4:21" ht="15.75" customHeight="1" x14ac:dyDescent="0.2"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</row>
    <row r="670" spans="4:21" ht="15.75" customHeight="1" x14ac:dyDescent="0.2"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</row>
    <row r="671" spans="4:21" ht="15.75" customHeight="1" x14ac:dyDescent="0.2"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</row>
    <row r="672" spans="4:21" ht="15.75" customHeight="1" x14ac:dyDescent="0.2"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</row>
    <row r="673" spans="4:21" ht="15.75" customHeight="1" x14ac:dyDescent="0.2"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</row>
    <row r="674" spans="4:21" ht="15.75" customHeight="1" x14ac:dyDescent="0.2"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</row>
    <row r="675" spans="4:21" ht="15.75" customHeight="1" x14ac:dyDescent="0.2"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</row>
    <row r="676" spans="4:21" ht="15.75" customHeight="1" x14ac:dyDescent="0.2"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</row>
    <row r="677" spans="4:21" ht="15.75" customHeight="1" x14ac:dyDescent="0.2"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</row>
    <row r="678" spans="4:21" ht="15.75" customHeight="1" x14ac:dyDescent="0.2"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</row>
    <row r="679" spans="4:21" ht="15.75" customHeight="1" x14ac:dyDescent="0.2"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</row>
    <row r="680" spans="4:21" ht="15.75" customHeight="1" x14ac:dyDescent="0.2"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</row>
    <row r="681" spans="4:21" ht="15.75" customHeight="1" x14ac:dyDescent="0.2"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</row>
    <row r="682" spans="4:21" ht="15.75" customHeight="1" x14ac:dyDescent="0.2"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</row>
    <row r="683" spans="4:21" ht="15.75" customHeight="1" x14ac:dyDescent="0.2"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</row>
    <row r="684" spans="4:21" ht="15.75" customHeight="1" x14ac:dyDescent="0.2"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</row>
    <row r="685" spans="4:21" ht="15.75" customHeight="1" x14ac:dyDescent="0.2"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</row>
    <row r="686" spans="4:21" ht="15.75" customHeight="1" x14ac:dyDescent="0.2"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</row>
    <row r="687" spans="4:21" ht="15.75" customHeight="1" x14ac:dyDescent="0.2"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</row>
    <row r="688" spans="4:21" ht="15.75" customHeight="1" x14ac:dyDescent="0.2"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</row>
    <row r="689" spans="4:21" ht="15.75" customHeight="1" x14ac:dyDescent="0.2"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</row>
    <row r="690" spans="4:21" ht="15.75" customHeight="1" x14ac:dyDescent="0.2"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</row>
    <row r="691" spans="4:21" ht="15.75" customHeight="1" x14ac:dyDescent="0.2"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</row>
    <row r="692" spans="4:21" ht="15.75" customHeight="1" x14ac:dyDescent="0.2"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</row>
    <row r="693" spans="4:21" ht="15.75" customHeight="1" x14ac:dyDescent="0.2"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</row>
    <row r="694" spans="4:21" ht="15.75" customHeight="1" x14ac:dyDescent="0.2"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</row>
    <row r="695" spans="4:21" ht="15.75" customHeight="1" x14ac:dyDescent="0.2"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</row>
    <row r="696" spans="4:21" ht="15.75" customHeight="1" x14ac:dyDescent="0.2"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</row>
    <row r="697" spans="4:21" ht="15.75" customHeight="1" x14ac:dyDescent="0.2"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</row>
    <row r="698" spans="4:21" ht="15.75" customHeight="1" x14ac:dyDescent="0.2"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</row>
    <row r="699" spans="4:21" ht="15.75" customHeight="1" x14ac:dyDescent="0.2"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</row>
    <row r="700" spans="4:21" ht="15.75" customHeight="1" x14ac:dyDescent="0.2"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</row>
    <row r="701" spans="4:21" ht="15.75" customHeight="1" x14ac:dyDescent="0.2"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</row>
    <row r="702" spans="4:21" ht="15.75" customHeight="1" x14ac:dyDescent="0.2"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</row>
    <row r="703" spans="4:21" ht="15.75" customHeight="1" x14ac:dyDescent="0.2"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</row>
    <row r="704" spans="4:21" ht="15.75" customHeight="1" x14ac:dyDescent="0.2"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</row>
    <row r="705" spans="4:21" ht="15.75" customHeight="1" x14ac:dyDescent="0.2"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</row>
    <row r="706" spans="4:21" ht="15.75" customHeight="1" x14ac:dyDescent="0.2"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</row>
    <row r="707" spans="4:21" ht="15.75" customHeight="1" x14ac:dyDescent="0.2"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</row>
    <row r="708" spans="4:21" ht="15.75" customHeight="1" x14ac:dyDescent="0.2"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</row>
    <row r="709" spans="4:21" ht="15.75" customHeight="1" x14ac:dyDescent="0.2"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</row>
    <row r="710" spans="4:21" ht="15.75" customHeight="1" x14ac:dyDescent="0.2"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</row>
    <row r="711" spans="4:21" ht="15.75" customHeight="1" x14ac:dyDescent="0.2"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</row>
    <row r="712" spans="4:21" ht="15.75" customHeight="1" x14ac:dyDescent="0.2"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</row>
    <row r="713" spans="4:21" ht="15.75" customHeight="1" x14ac:dyDescent="0.2"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</row>
    <row r="714" spans="4:21" ht="15.75" customHeight="1" x14ac:dyDescent="0.2"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</row>
    <row r="715" spans="4:21" ht="15.75" customHeight="1" x14ac:dyDescent="0.2"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</row>
    <row r="716" spans="4:21" ht="15.75" customHeight="1" x14ac:dyDescent="0.2"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</row>
    <row r="717" spans="4:21" ht="15.75" customHeight="1" x14ac:dyDescent="0.2"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</row>
    <row r="718" spans="4:21" ht="15.75" customHeight="1" x14ac:dyDescent="0.2"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</row>
    <row r="719" spans="4:21" ht="15.75" customHeight="1" x14ac:dyDescent="0.2"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</row>
    <row r="720" spans="4:21" ht="15.75" customHeight="1" x14ac:dyDescent="0.2"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</row>
    <row r="721" spans="4:21" ht="15.75" customHeight="1" x14ac:dyDescent="0.2"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</row>
    <row r="722" spans="4:21" ht="15.75" customHeight="1" x14ac:dyDescent="0.2"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</row>
    <row r="723" spans="4:21" ht="15.75" customHeight="1" x14ac:dyDescent="0.2"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</row>
    <row r="724" spans="4:21" ht="15.75" customHeight="1" x14ac:dyDescent="0.2"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</row>
    <row r="725" spans="4:21" ht="15.75" customHeight="1" x14ac:dyDescent="0.2"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</row>
    <row r="726" spans="4:21" ht="15.75" customHeight="1" x14ac:dyDescent="0.2"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</row>
    <row r="727" spans="4:21" ht="15.75" customHeight="1" x14ac:dyDescent="0.2"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</row>
    <row r="728" spans="4:21" ht="15.75" customHeight="1" x14ac:dyDescent="0.2"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</row>
    <row r="729" spans="4:21" ht="15.75" customHeight="1" x14ac:dyDescent="0.2"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</row>
    <row r="730" spans="4:21" ht="15.75" customHeight="1" x14ac:dyDescent="0.2"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</row>
    <row r="731" spans="4:21" ht="15.75" customHeight="1" x14ac:dyDescent="0.2"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</row>
    <row r="732" spans="4:21" ht="15.75" customHeight="1" x14ac:dyDescent="0.2"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65"/>
      <c r="U732" s="66"/>
    </row>
  </sheetData>
  <mergeCells count="186">
    <mergeCell ref="T132:U132"/>
    <mergeCell ref="T133:U133"/>
    <mergeCell ref="T123:U123"/>
    <mergeCell ref="T124:U124"/>
    <mergeCell ref="T125:U125"/>
    <mergeCell ref="T126:U126"/>
    <mergeCell ref="T127:U127"/>
    <mergeCell ref="T128:U128"/>
    <mergeCell ref="T129:U129"/>
    <mergeCell ref="T130:U130"/>
    <mergeCell ref="T131:U131"/>
    <mergeCell ref="T114:U114"/>
    <mergeCell ref="T115:U115"/>
    <mergeCell ref="T116:U116"/>
    <mergeCell ref="T117:U117"/>
    <mergeCell ref="T118:U118"/>
    <mergeCell ref="T119:U119"/>
    <mergeCell ref="T120:U120"/>
    <mergeCell ref="T121:U121"/>
    <mergeCell ref="T122:U122"/>
    <mergeCell ref="T105:U105"/>
    <mergeCell ref="T106:U106"/>
    <mergeCell ref="T107:U107"/>
    <mergeCell ref="T108:U108"/>
    <mergeCell ref="T109:U109"/>
    <mergeCell ref="T110:U110"/>
    <mergeCell ref="T111:U111"/>
    <mergeCell ref="T112:U112"/>
    <mergeCell ref="T113:U113"/>
    <mergeCell ref="T96:U96"/>
    <mergeCell ref="T97:U97"/>
    <mergeCell ref="T98:U98"/>
    <mergeCell ref="T99:U99"/>
    <mergeCell ref="T100:U100"/>
    <mergeCell ref="T101:U101"/>
    <mergeCell ref="T102:U102"/>
    <mergeCell ref="T103:U103"/>
    <mergeCell ref="T104:U104"/>
    <mergeCell ref="T87:U87"/>
    <mergeCell ref="T88:U88"/>
    <mergeCell ref="T89:U89"/>
    <mergeCell ref="T90:U90"/>
    <mergeCell ref="T91:U91"/>
    <mergeCell ref="T92:U92"/>
    <mergeCell ref="T93:U93"/>
    <mergeCell ref="T94:U94"/>
    <mergeCell ref="T95:U95"/>
    <mergeCell ref="T78:U78"/>
    <mergeCell ref="T79:U79"/>
    <mergeCell ref="T80:U80"/>
    <mergeCell ref="T81:U81"/>
    <mergeCell ref="T82:U82"/>
    <mergeCell ref="T83:U83"/>
    <mergeCell ref="T84:U84"/>
    <mergeCell ref="T85:U85"/>
    <mergeCell ref="T86:U86"/>
    <mergeCell ref="T69:U69"/>
    <mergeCell ref="T70:U70"/>
    <mergeCell ref="T71:U71"/>
    <mergeCell ref="T72:U72"/>
    <mergeCell ref="T73:U73"/>
    <mergeCell ref="T74:U74"/>
    <mergeCell ref="T75:U75"/>
    <mergeCell ref="T76:U76"/>
    <mergeCell ref="T77:U77"/>
    <mergeCell ref="T60:U60"/>
    <mergeCell ref="T61:U61"/>
    <mergeCell ref="T62:U62"/>
    <mergeCell ref="T63:U63"/>
    <mergeCell ref="T64:U64"/>
    <mergeCell ref="T65:U65"/>
    <mergeCell ref="T66:U66"/>
    <mergeCell ref="T67:U67"/>
    <mergeCell ref="T68:U68"/>
    <mergeCell ref="T6:U6"/>
    <mergeCell ref="T7:U7"/>
    <mergeCell ref="T8:U8"/>
    <mergeCell ref="T9:U9"/>
    <mergeCell ref="T10:U10"/>
    <mergeCell ref="B23:B33"/>
    <mergeCell ref="B34:B44"/>
    <mergeCell ref="C34:C44"/>
    <mergeCell ref="T29:U29"/>
    <mergeCell ref="T30:U30"/>
    <mergeCell ref="T31:U31"/>
    <mergeCell ref="T32:U32"/>
    <mergeCell ref="T33:U33"/>
    <mergeCell ref="T34:U34"/>
    <mergeCell ref="T35:U35"/>
    <mergeCell ref="T36:U36"/>
    <mergeCell ref="T37:U37"/>
    <mergeCell ref="T38:U38"/>
    <mergeCell ref="T39:U39"/>
    <mergeCell ref="T40:U40"/>
    <mergeCell ref="T41:U41"/>
    <mergeCell ref="T42:U42"/>
    <mergeCell ref="T43:U43"/>
    <mergeCell ref="T44:U44"/>
    <mergeCell ref="L3:L4"/>
    <mergeCell ref="M3:M4"/>
    <mergeCell ref="N3:N4"/>
    <mergeCell ref="P3:R3"/>
    <mergeCell ref="E1:U1"/>
    <mergeCell ref="B3:B4"/>
    <mergeCell ref="C3:C4"/>
    <mergeCell ref="D3:D4"/>
    <mergeCell ref="E3:E4"/>
    <mergeCell ref="F3:F4"/>
    <mergeCell ref="T3:U4"/>
    <mergeCell ref="B79:B92"/>
    <mergeCell ref="B93:B107"/>
    <mergeCell ref="C93:C107"/>
    <mergeCell ref="B108:B125"/>
    <mergeCell ref="C108:C125"/>
    <mergeCell ref="B126:B133"/>
    <mergeCell ref="C126:C133"/>
    <mergeCell ref="K3:K4"/>
    <mergeCell ref="B45:B53"/>
    <mergeCell ref="C45:C53"/>
    <mergeCell ref="B54:B64"/>
    <mergeCell ref="C54:C64"/>
    <mergeCell ref="B65:B78"/>
    <mergeCell ref="C65:C78"/>
    <mergeCell ref="C79:C92"/>
    <mergeCell ref="B134:B150"/>
    <mergeCell ref="C134:C150"/>
    <mergeCell ref="I3:I4"/>
    <mergeCell ref="J3:J4"/>
    <mergeCell ref="G3:G4"/>
    <mergeCell ref="H3:H4"/>
    <mergeCell ref="B6:B13"/>
    <mergeCell ref="C6:C13"/>
    <mergeCell ref="B14:B22"/>
    <mergeCell ref="C14:C22"/>
    <mergeCell ref="C23:C33"/>
    <mergeCell ref="T11:U11"/>
    <mergeCell ref="T12:U12"/>
    <mergeCell ref="T13:U13"/>
    <mergeCell ref="T14:U14"/>
    <mergeCell ref="T15:U15"/>
    <mergeCell ref="T16:U16"/>
    <mergeCell ref="T17:U17"/>
    <mergeCell ref="T27:U27"/>
    <mergeCell ref="T28:U28"/>
    <mergeCell ref="T20:U20"/>
    <mergeCell ref="T21:U21"/>
    <mergeCell ref="T22:U22"/>
    <mergeCell ref="T23:U23"/>
    <mergeCell ref="T24:U24"/>
    <mergeCell ref="T25:U25"/>
    <mergeCell ref="T26:U26"/>
    <mergeCell ref="T18:U18"/>
    <mergeCell ref="T19:U19"/>
    <mergeCell ref="T45:U45"/>
    <mergeCell ref="T46:U46"/>
    <mergeCell ref="T47:U47"/>
    <mergeCell ref="T48:U48"/>
    <mergeCell ref="T49:U49"/>
    <mergeCell ref="T50:U50"/>
    <mergeCell ref="T51:U51"/>
    <mergeCell ref="T52:U52"/>
    <mergeCell ref="T53:U53"/>
    <mergeCell ref="T54:U54"/>
    <mergeCell ref="T55:U55"/>
    <mergeCell ref="T56:U56"/>
    <mergeCell ref="T57:U57"/>
    <mergeCell ref="T58:U58"/>
    <mergeCell ref="T59:U59"/>
    <mergeCell ref="T732:U732"/>
    <mergeCell ref="T144:U144"/>
    <mergeCell ref="T145:U145"/>
    <mergeCell ref="T146:U146"/>
    <mergeCell ref="T147:U147"/>
    <mergeCell ref="T134:U134"/>
    <mergeCell ref="T135:U135"/>
    <mergeCell ref="T136:U136"/>
    <mergeCell ref="T137:U137"/>
    <mergeCell ref="T138:U138"/>
    <mergeCell ref="T139:U139"/>
    <mergeCell ref="T140:U140"/>
    <mergeCell ref="T141:U141"/>
    <mergeCell ref="T142:U142"/>
    <mergeCell ref="T143:U143"/>
    <mergeCell ref="T148:U148"/>
    <mergeCell ref="T149:U149"/>
    <mergeCell ref="T150:U150"/>
  </mergeCells>
  <phoneticPr fontId="22" type="noConversion"/>
  <conditionalFormatting sqref="D5:D732">
    <cfRule type="notContainsBlanks" dxfId="0" priority="1">
      <formula>LEN(TRIM(D5))&gt;0</formula>
    </cfRule>
  </conditionalFormatting>
  <hyperlinks>
    <hyperlink ref="O71" r:id="rId1" xr:uid="{00000000-0004-0000-0000-000000000000}"/>
    <hyperlink ref="O83" r:id="rId2" xr:uid="{00000000-0004-0000-0000-000001000000}"/>
  </hyperlinks>
  <printOptions horizontalCentered="1" gridLines="1"/>
  <pageMargins left="0.25" right="0.25" top="0.75" bottom="0.75" header="0" footer="0"/>
  <pageSetup paperSize="8" fitToHeight="0" pageOrder="overThenDown" orientation="landscape" cellComments="atEnd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International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파파 HWANG</cp:lastModifiedBy>
  <dcterms:modified xsi:type="dcterms:W3CDTF">2026-10-22T13:21:31Z</dcterms:modified>
</cp:coreProperties>
</file>